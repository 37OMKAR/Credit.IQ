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PCAF Financed Emissions" sheetId="3" state="visible" r:id="rId3"/>
    <sheet xmlns:r="http://schemas.openxmlformats.org/officeDocument/2006/relationships" name="Projections &amp; DSCR" sheetId="4" state="visible" r:id="rId4"/>
    <sheet xmlns:r="http://schemas.openxmlformats.org/officeDocument/2006/relationships" name="Repayment Schedule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WC Assessment &amp; DP" sheetId="7" state="visible" r:id="rId7"/>
    <sheet xmlns:r="http://schemas.openxmlformats.org/officeDocument/2006/relationships" name="Security &amp; Pricing" sheetId="8" state="visible" r:id="rId8"/>
    <sheet xmlns:r="http://schemas.openxmlformats.org/officeDocument/2006/relationships" name="RBI EWS &amp; Regulatory" sheetId="9" state="visible" r:id="rId9"/>
    <sheet xmlns:r="http://schemas.openxmlformats.org/officeDocument/2006/relationships" name="CMA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0.00&quot;%&quot;"/>
    <numFmt numFmtId="166" formatCode="0.00&quot;x&quot;;(0.00&quot;x&quot;);&quot;-&quot;"/>
    <numFmt numFmtId="167" formatCode="0.0%;(0.0%);&quot;-&quot;"/>
    <numFmt numFmtId="168" formatCode="#,##0&quot; d&quot;;(#,##0&quot; d&quot;);&quot;-&quot;"/>
    <numFmt numFmtId="169" formatCode="0.0000%"/>
    <numFmt numFmtId="170" formatCode="#,##0&quot; d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i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1" pivotButton="0" quotePrefix="0" xfId="0"/>
    <xf numFmtId="0" fontId="8" fillId="0" borderId="0" pivotButton="0" quotePrefix="0" xfId="0"/>
    <xf numFmtId="165" fontId="7" fillId="0" borderId="1" pivotButton="0" quotePrefix="0" xfId="0"/>
    <xf numFmtId="164" fontId="6" fillId="0" borderId="0" pivotButton="0" quotePrefix="0" xfId="0"/>
    <xf numFmtId="164" fontId="6" fillId="0" borderId="1" pivotButton="0" quotePrefix="0" xfId="0"/>
    <xf numFmtId="166" fontId="9" fillId="0" borderId="1" applyAlignment="1" pivotButton="0" quotePrefix="0" xfId="0">
      <alignment horizontal="right"/>
    </xf>
    <xf numFmtId="166" fontId="7" fillId="0" borderId="0" pivotButton="0" quotePrefix="0" xfId="0"/>
    <xf numFmtId="164" fontId="9" fillId="0" borderId="1" applyAlignment="1" pivotButton="0" quotePrefix="0" xfId="0">
      <alignment horizontal="right"/>
    </xf>
    <xf numFmtId="164" fontId="7" fillId="0" borderId="0" pivotButton="0" quotePrefix="0" xfId="0"/>
    <xf numFmtId="167" fontId="9" fillId="0" borderId="1" applyAlignment="1" pivotButton="0" quotePrefix="0" xfId="0">
      <alignment horizontal="right"/>
    </xf>
    <xf numFmtId="167" fontId="7" fillId="0" borderId="0" pivotButton="0" quotePrefix="0" xfId="0"/>
    <xf numFmtId="168" fontId="9" fillId="0" borderId="1" applyAlignment="1" pivotButton="0" quotePrefix="0" xfId="0">
      <alignment horizontal="right"/>
    </xf>
    <xf numFmtId="168" fontId="7" fillId="0" borderId="0" pivotButton="0" quotePrefix="0" xfId="0"/>
    <xf numFmtId="0" fontId="7" fillId="0" borderId="0" pivotButton="0" quotePrefix="0" xfId="0"/>
    <xf numFmtId="164" fontId="7" fillId="4" borderId="1" pivotButton="0" quotePrefix="0" xfId="0"/>
    <xf numFmtId="0" fontId="7" fillId="4" borderId="1" pivotButton="0" quotePrefix="0" xfId="0"/>
    <xf numFmtId="164" fontId="9" fillId="0" borderId="1" pivotButton="0" quotePrefix="0" xfId="0"/>
    <xf numFmtId="164" fontId="8" fillId="0" borderId="1" pivotButton="0" quotePrefix="0" xfId="0"/>
    <xf numFmtId="169" fontId="8" fillId="0" borderId="1" pivotButton="0" quotePrefix="0" xfId="0"/>
    <xf numFmtId="0" fontId="8" fillId="0" borderId="1" pivotButton="0" quotePrefix="0" xfId="0"/>
    <xf numFmtId="0" fontId="0" fillId="0" borderId="0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164" fontId="7" fillId="4" borderId="1" applyAlignment="1" pivotButton="0" quotePrefix="0" xfId="0">
      <alignment vertical="top"/>
    </xf>
    <xf numFmtId="167" fontId="7" fillId="4" borderId="1" applyAlignment="1" pivotButton="0" quotePrefix="0" xfId="0">
      <alignment vertical="top"/>
    </xf>
    <xf numFmtId="1" fontId="7" fillId="4" borderId="1" applyAlignment="1" pivotButton="0" quotePrefix="0" xfId="0">
      <alignment vertical="top"/>
    </xf>
    <xf numFmtId="164" fontId="6" fillId="0" borderId="1" applyAlignment="1" pivotButton="0" quotePrefix="0" xfId="0">
      <alignment vertical="top"/>
    </xf>
    <xf numFmtId="164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/>
    </xf>
    <xf numFmtId="166" fontId="6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166" fontId="8" fillId="0" borderId="1" applyAlignment="1" pivotButton="0" quotePrefix="0" xfId="0">
      <alignment vertical="top" wrapText="1"/>
    </xf>
    <xf numFmtId="166" fontId="8" fillId="0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" fontId="6" fillId="0" borderId="1" applyAlignment="1" pivotButton="0" quotePrefix="0" xfId="0">
      <alignment vertical="top"/>
    </xf>
    <xf numFmtId="167" fontId="6" fillId="0" borderId="1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7" fontId="8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70" fontId="6" fillId="0" borderId="1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16" customWidth="1" min="3" max="3"/>
    <col width="16" customWidth="1" min="4" max="4"/>
  </cols>
  <sheetData>
    <row r="1">
      <c r="A1" s="1" t="inlineStr">
        <is>
          <t>Deccan Polyfab Industries Ltd (fictional sample) - Financial Statements (Standalone)</t>
        </is>
      </c>
    </row>
    <row r="2">
      <c r="A2" s="2" t="inlineStr">
        <is>
          <t>All figures INR Crore. Blue = extracted from the uploaded PDF (edit if needed); black = formulas. Source: Sample_Annual_Report_DeccanPolyfab_FY25.pdf</t>
        </is>
      </c>
    </row>
    <row r="4">
      <c r="A4" s="3" t="inlineStr">
        <is>
          <t>Key</t>
        </is>
      </c>
      <c r="B4" s="3" t="inlineStr">
        <is>
          <t>Particulars</t>
        </is>
      </c>
      <c r="C4" s="3" t="inlineStr">
        <is>
          <t>FY2024</t>
        </is>
      </c>
      <c r="D4" s="3" t="inlineStr">
        <is>
          <t>FY2025</t>
        </is>
      </c>
    </row>
    <row r="5">
      <c r="A5" s="4" t="inlineStr">
        <is>
          <t>BALANCE SHEET</t>
        </is>
      </c>
      <c r="B5" s="5" t="n"/>
      <c r="C5" s="5" t="n"/>
      <c r="D5" s="5" t="n"/>
    </row>
    <row r="6">
      <c r="B6" s="6" t="inlineStr">
        <is>
          <t>Equity</t>
        </is>
      </c>
    </row>
    <row r="7">
      <c r="A7" s="2" t="inlineStr">
        <is>
          <t>share_capital</t>
        </is>
      </c>
      <c r="B7" s="7" t="inlineStr">
        <is>
          <t>Equity Share Capital</t>
        </is>
      </c>
      <c r="C7" s="8" t="n">
        <v>50</v>
      </c>
      <c r="D7" s="8" t="n">
        <v>50</v>
      </c>
    </row>
    <row r="8">
      <c r="A8" s="2" t="inlineStr">
        <is>
          <t>other_equity</t>
        </is>
      </c>
      <c r="B8" s="7" t="inlineStr">
        <is>
          <t>Other Equity (Reserves &amp; Surplus)</t>
        </is>
      </c>
      <c r="C8" s="8" t="n">
        <v>380</v>
      </c>
      <c r="D8" s="8" t="n">
        <v>420</v>
      </c>
    </row>
    <row r="9">
      <c r="A9" s="2" t="inlineStr">
        <is>
          <t>total_equity</t>
        </is>
      </c>
      <c r="B9" s="9" t="inlineStr">
        <is>
          <t>Total Equity (Net Worth)</t>
        </is>
      </c>
      <c r="C9" s="8" t="n">
        <v>430</v>
      </c>
      <c r="D9" s="8" t="n">
        <v>470</v>
      </c>
    </row>
    <row r="10">
      <c r="A10" s="2" t="inlineStr">
        <is>
          <t>minority_interest</t>
        </is>
      </c>
      <c r="B10" s="7" t="inlineStr">
        <is>
          <t>Non-controlling Interest</t>
        </is>
      </c>
      <c r="C10" s="8" t="n"/>
      <c r="D10" s="8" t="n"/>
    </row>
    <row r="11">
      <c r="B11" s="6" t="inlineStr">
        <is>
          <t>Non-current Liabilities</t>
        </is>
      </c>
    </row>
    <row r="12">
      <c r="A12" s="2" t="inlineStr">
        <is>
          <t>long_term_borrowings</t>
        </is>
      </c>
      <c r="B12" s="7" t="inlineStr">
        <is>
          <t>Long-term Borrowings</t>
        </is>
      </c>
      <c r="C12" s="8" t="n">
        <v>260</v>
      </c>
      <c r="D12" s="8" t="n">
        <v>380</v>
      </c>
    </row>
    <row r="13">
      <c r="A13" s="2" t="inlineStr">
        <is>
          <t>lease_liabilities_nc</t>
        </is>
      </c>
      <c r="B13" s="7" t="inlineStr">
        <is>
          <t>Lease Liabilities (Non-current)</t>
        </is>
      </c>
      <c r="C13" s="8" t="n">
        <v>12</v>
      </c>
      <c r="D13" s="8" t="n">
        <v>10</v>
      </c>
    </row>
    <row r="14">
      <c r="A14" s="2" t="inlineStr">
        <is>
          <t>other_nc_fin_liabilities</t>
        </is>
      </c>
      <c r="B14" s="7" t="inlineStr">
        <is>
          <t>Other Non-current Financial Liabilities</t>
        </is>
      </c>
      <c r="C14" s="8" t="n"/>
      <c r="D14" s="8" t="n"/>
    </row>
    <row r="15">
      <c r="A15" s="2" t="inlineStr">
        <is>
          <t>long_term_provisions</t>
        </is>
      </c>
      <c r="B15" s="7" t="inlineStr">
        <is>
          <t>Long-term Provisions</t>
        </is>
      </c>
      <c r="C15" s="8" t="n">
        <v>7</v>
      </c>
      <c r="D15" s="8" t="n">
        <v>8</v>
      </c>
    </row>
    <row r="16">
      <c r="A16" s="2" t="inlineStr">
        <is>
          <t>deferred_tax_liabilities</t>
        </is>
      </c>
      <c r="B16" s="7" t="inlineStr">
        <is>
          <t>Deferred Tax Liabilities (Net)</t>
        </is>
      </c>
      <c r="C16" s="8" t="n">
        <v>20</v>
      </c>
      <c r="D16" s="8" t="n">
        <v>22</v>
      </c>
    </row>
    <row r="17">
      <c r="A17" s="2" t="inlineStr">
        <is>
          <t>other_nc_liabilities</t>
        </is>
      </c>
      <c r="B17" s="7" t="inlineStr">
        <is>
          <t>Other Non-current Liabilities</t>
        </is>
      </c>
      <c r="C17" s="8" t="n"/>
      <c r="D17" s="8" t="n"/>
    </row>
    <row r="18">
      <c r="B18" s="6" t="inlineStr">
        <is>
          <t>Current Liabilities</t>
        </is>
      </c>
    </row>
    <row r="19">
      <c r="A19" s="2" t="inlineStr">
        <is>
          <t>short_term_borrowings</t>
        </is>
      </c>
      <c r="B19" s="7" t="inlineStr">
        <is>
          <t>Short-term Borrowings</t>
        </is>
      </c>
      <c r="C19" s="8" t="n">
        <v>169</v>
      </c>
      <c r="D19" s="8" t="n">
        <v>300</v>
      </c>
    </row>
    <row r="20">
      <c r="A20" s="2" t="inlineStr">
        <is>
          <t>current_maturities_ltd</t>
        </is>
      </c>
      <c r="B20" s="7" t="inlineStr">
        <is>
          <t>of which: Current Maturities of LTD (memo, inside ST borrowings)</t>
        </is>
      </c>
      <c r="C20" s="8" t="n"/>
      <c r="D20" s="8" t="n"/>
    </row>
    <row r="21">
      <c r="A21" s="2" t="inlineStr">
        <is>
          <t>lease_liabilities_c</t>
        </is>
      </c>
      <c r="B21" s="7" t="inlineStr">
        <is>
          <t>Lease Liabilities (Current)</t>
        </is>
      </c>
      <c r="C21" s="8" t="n"/>
      <c r="D21" s="8" t="n"/>
    </row>
    <row r="22">
      <c r="A22" s="2" t="inlineStr">
        <is>
          <t>trade_payables</t>
        </is>
      </c>
      <c r="B22" s="7" t="inlineStr">
        <is>
          <t>Trade Payables</t>
        </is>
      </c>
      <c r="C22" s="8" t="n">
        <v>190</v>
      </c>
      <c r="D22" s="8" t="n">
        <v>210</v>
      </c>
    </row>
    <row r="23">
      <c r="A23" s="2" t="inlineStr">
        <is>
          <t>other_current_fin_liabilities</t>
        </is>
      </c>
      <c r="B23" s="7" t="inlineStr">
        <is>
          <t>Other Current Financial Liabilities</t>
        </is>
      </c>
      <c r="C23" s="8" t="n">
        <v>35</v>
      </c>
      <c r="D23" s="8" t="n">
        <v>40</v>
      </c>
    </row>
    <row r="24">
      <c r="A24" s="2" t="inlineStr">
        <is>
          <t>other_current_liabilities</t>
        </is>
      </c>
      <c r="B24" s="7" t="inlineStr">
        <is>
          <t>Other Current Liabilities</t>
        </is>
      </c>
      <c r="C24" s="8" t="n">
        <v>22</v>
      </c>
      <c r="D24" s="8" t="n">
        <v>25</v>
      </c>
    </row>
    <row r="25">
      <c r="A25" s="2" t="inlineStr">
        <is>
          <t>short_term_provisions</t>
        </is>
      </c>
      <c r="B25" s="7" t="inlineStr">
        <is>
          <t>Short-term Provisions</t>
        </is>
      </c>
      <c r="C25" s="8" t="n">
        <v>4</v>
      </c>
      <c r="D25" s="8" t="n">
        <v>5</v>
      </c>
    </row>
    <row r="26">
      <c r="A26" s="2" t="inlineStr">
        <is>
          <t>current_tax_liabilities</t>
        </is>
      </c>
      <c r="B26" s="7" t="inlineStr">
        <is>
          <t>Current Tax Liabilities (Net)</t>
        </is>
      </c>
      <c r="C26" s="8" t="n">
        <v>2</v>
      </c>
      <c r="D26" s="8" t="n">
        <v>3</v>
      </c>
    </row>
    <row r="27">
      <c r="A27" s="2" t="inlineStr">
        <is>
          <t>total_current_liabilities</t>
        </is>
      </c>
      <c r="B27" s="9" t="inlineStr">
        <is>
          <t>Total Current Liabilities</t>
        </is>
      </c>
      <c r="C27" s="8" t="n">
        <v>422</v>
      </c>
      <c r="D27" s="8" t="n">
        <v>583</v>
      </c>
    </row>
    <row r="28">
      <c r="B28" s="6" t="inlineStr">
        <is>
          <t>Totals</t>
        </is>
      </c>
    </row>
    <row r="29">
      <c r="A29" s="2" t="inlineStr">
        <is>
          <t>total_equity_and_liabilities</t>
        </is>
      </c>
      <c r="B29" s="9" t="inlineStr">
        <is>
          <t>Total Equity &amp; Liabilities</t>
        </is>
      </c>
      <c r="C29" s="8" t="n">
        <v>1151</v>
      </c>
      <c r="D29" s="8" t="n">
        <v>1473</v>
      </c>
    </row>
    <row r="30">
      <c r="B30" s="6" t="inlineStr">
        <is>
          <t>Non-current Assets</t>
        </is>
      </c>
    </row>
    <row r="31">
      <c r="A31" s="2" t="inlineStr">
        <is>
          <t>ppe</t>
        </is>
      </c>
      <c r="B31" s="7" t="inlineStr">
        <is>
          <t>Property, Plant &amp; Equipment (Net Block)</t>
        </is>
      </c>
      <c r="C31" s="8" t="n">
        <v>410</v>
      </c>
      <c r="D31" s="8" t="n">
        <v>420</v>
      </c>
    </row>
    <row r="32">
      <c r="A32" s="2" t="inlineStr">
        <is>
          <t>cwip</t>
        </is>
      </c>
      <c r="B32" s="7" t="inlineStr">
        <is>
          <t>Capital Work-in-Progress</t>
        </is>
      </c>
      <c r="C32" s="8" t="n">
        <v>90</v>
      </c>
      <c r="D32" s="8" t="n">
        <v>95</v>
      </c>
    </row>
    <row r="33">
      <c r="A33" s="2" t="inlineStr">
        <is>
          <t>right_of_use</t>
        </is>
      </c>
      <c r="B33" s="7" t="inlineStr">
        <is>
          <t>Right-of-Use Assets</t>
        </is>
      </c>
      <c r="C33" s="8" t="n">
        <v>14</v>
      </c>
      <c r="D33" s="8" t="n">
        <v>12</v>
      </c>
    </row>
    <row r="34">
      <c r="A34" s="2" t="inlineStr">
        <is>
          <t>investment_property</t>
        </is>
      </c>
      <c r="B34" s="7" t="inlineStr">
        <is>
          <t>Investment Property</t>
        </is>
      </c>
      <c r="C34" s="8" t="n"/>
      <c r="D34" s="8" t="n"/>
    </row>
    <row r="35">
      <c r="A35" s="2" t="inlineStr">
        <is>
          <t>goodwill</t>
        </is>
      </c>
      <c r="B35" s="7" t="inlineStr">
        <is>
          <t>Goodwill</t>
        </is>
      </c>
      <c r="C35" s="8" t="n"/>
      <c r="D35" s="8" t="n"/>
    </row>
    <row r="36">
      <c r="A36" s="2" t="inlineStr">
        <is>
          <t>intangibles</t>
        </is>
      </c>
      <c r="B36" s="7" t="inlineStr">
        <is>
          <t>Other Intangible Assets (incl. under development)</t>
        </is>
      </c>
      <c r="C36" s="8" t="n">
        <v>6</v>
      </c>
      <c r="D36" s="8" t="n">
        <v>8</v>
      </c>
    </row>
    <row r="37">
      <c r="A37" s="2" t="inlineStr">
        <is>
          <t>nc_investments</t>
        </is>
      </c>
      <c r="B37" s="7" t="inlineStr">
        <is>
          <t>Non-current Investments</t>
        </is>
      </c>
      <c r="C37" s="8" t="n">
        <v>70</v>
      </c>
      <c r="D37" s="8" t="n">
        <v>110</v>
      </c>
    </row>
    <row r="38">
      <c r="A38" s="2" t="inlineStr">
        <is>
          <t>nc_loans</t>
        </is>
      </c>
      <c r="B38" s="7" t="inlineStr">
        <is>
          <t>Non-current Loans &amp; Advances</t>
        </is>
      </c>
      <c r="C38" s="8" t="n">
        <v>10</v>
      </c>
      <c r="D38" s="8" t="n">
        <v>85</v>
      </c>
    </row>
    <row r="39">
      <c r="A39" s="2" t="inlineStr">
        <is>
          <t>other_nc_fin_assets</t>
        </is>
      </c>
      <c r="B39" s="7" t="inlineStr">
        <is>
          <t>Other Non-current Financial Assets</t>
        </is>
      </c>
      <c r="C39" s="8" t="n">
        <v>9</v>
      </c>
      <c r="D39" s="8" t="n">
        <v>10</v>
      </c>
    </row>
    <row r="40">
      <c r="A40" s="2" t="inlineStr">
        <is>
          <t>deferred_tax_assets</t>
        </is>
      </c>
      <c r="B40" s="7" t="inlineStr">
        <is>
          <t>Deferred Tax Assets (Net)</t>
        </is>
      </c>
      <c r="C40" s="8" t="n"/>
      <c r="D40" s="8" t="n"/>
    </row>
    <row r="41">
      <c r="A41" s="2" t="inlineStr">
        <is>
          <t>capital_advances</t>
        </is>
      </c>
      <c r="B41" s="7" t="inlineStr">
        <is>
          <t>Capital Advances</t>
        </is>
      </c>
      <c r="C41" s="8" t="n">
        <v>8</v>
      </c>
      <c r="D41" s="8" t="n">
        <v>30</v>
      </c>
    </row>
    <row r="42">
      <c r="A42" s="2" t="inlineStr">
        <is>
          <t>other_nc_assets</t>
        </is>
      </c>
      <c r="B42" s="7" t="inlineStr">
        <is>
          <t>Other Non-current Assets</t>
        </is>
      </c>
      <c r="C42" s="8" t="n">
        <v>12</v>
      </c>
      <c r="D42" s="8" t="n">
        <v>15</v>
      </c>
    </row>
    <row r="43">
      <c r="B43" s="6" t="inlineStr">
        <is>
          <t>Current Assets</t>
        </is>
      </c>
    </row>
    <row r="44">
      <c r="A44" s="2" t="inlineStr">
        <is>
          <t>inventories</t>
        </is>
      </c>
      <c r="B44" s="7" t="inlineStr">
        <is>
          <t>Inventories</t>
        </is>
      </c>
      <c r="C44" s="8" t="n">
        <v>180</v>
      </c>
      <c r="D44" s="8" t="n">
        <v>210</v>
      </c>
    </row>
    <row r="45">
      <c r="A45" s="2" t="inlineStr">
        <is>
          <t>current_investments</t>
        </is>
      </c>
      <c r="B45" s="7" t="inlineStr">
        <is>
          <t>Current Investments</t>
        </is>
      </c>
      <c r="C45" s="8" t="n"/>
      <c r="D45" s="8" t="n"/>
    </row>
    <row r="46">
      <c r="A46" s="2" t="inlineStr">
        <is>
          <t>trade_receivables</t>
        </is>
      </c>
      <c r="B46" s="7" t="inlineStr">
        <is>
          <t>Trade Receivables</t>
        </is>
      </c>
      <c r="C46" s="8" t="n">
        <v>200</v>
      </c>
      <c r="D46" s="8" t="n">
        <v>290</v>
      </c>
    </row>
    <row r="47">
      <c r="A47" s="2" t="inlineStr">
        <is>
          <t>cash_and_equivalents</t>
        </is>
      </c>
      <c r="B47" s="7" t="inlineStr">
        <is>
          <t>Cash &amp; Cash Equivalents</t>
        </is>
      </c>
      <c r="C47" s="8" t="n">
        <v>60</v>
      </c>
      <c r="D47" s="8" t="n">
        <v>85</v>
      </c>
    </row>
    <row r="48">
      <c r="A48" s="2" t="inlineStr">
        <is>
          <t>other_bank_balances</t>
        </is>
      </c>
      <c r="B48" s="7" t="inlineStr">
        <is>
          <t>Other Bank Balances</t>
        </is>
      </c>
      <c r="C48" s="8" t="n">
        <v>30</v>
      </c>
      <c r="D48" s="8" t="n">
        <v>35</v>
      </c>
    </row>
    <row r="49">
      <c r="A49" s="2" t="inlineStr">
        <is>
          <t>current_loans</t>
        </is>
      </c>
      <c r="B49" s="7" t="inlineStr">
        <is>
          <t>Current Loans &amp; Advances</t>
        </is>
      </c>
      <c r="C49" s="8" t="n">
        <v>15</v>
      </c>
      <c r="D49" s="8" t="n">
        <v>25</v>
      </c>
    </row>
    <row r="50">
      <c r="A50" s="2" t="inlineStr">
        <is>
          <t>other_current_fin_assets</t>
        </is>
      </c>
      <c r="B50" s="7" t="inlineStr">
        <is>
          <t>Other Current Financial Assets</t>
        </is>
      </c>
      <c r="C50" s="8" t="n">
        <v>15</v>
      </c>
      <c r="D50" s="8" t="n">
        <v>18</v>
      </c>
    </row>
    <row r="51">
      <c r="A51" s="2" t="inlineStr">
        <is>
          <t>current_tax_assets</t>
        </is>
      </c>
      <c r="B51" s="7" t="inlineStr">
        <is>
          <t>Current Tax Assets (Net)</t>
        </is>
      </c>
      <c r="C51" s="8" t="n"/>
      <c r="D51" s="8" t="n"/>
    </row>
    <row r="52">
      <c r="A52" s="2" t="inlineStr">
        <is>
          <t>other_current_assets</t>
        </is>
      </c>
      <c r="B52" s="7" t="inlineStr">
        <is>
          <t>Other Current Assets</t>
        </is>
      </c>
      <c r="C52" s="8" t="n">
        <v>22</v>
      </c>
      <c r="D52" s="8" t="n">
        <v>25</v>
      </c>
    </row>
    <row r="53">
      <c r="A53" s="2" t="inlineStr">
        <is>
          <t>total_current_assets</t>
        </is>
      </c>
      <c r="B53" s="9" t="inlineStr">
        <is>
          <t>Total Current Assets</t>
        </is>
      </c>
      <c r="C53" s="8" t="n">
        <v>522</v>
      </c>
      <c r="D53" s="8" t="n">
        <v>688</v>
      </c>
    </row>
    <row r="54">
      <c r="B54" s="6" t="inlineStr">
        <is>
          <t>Totals</t>
        </is>
      </c>
    </row>
    <row r="55">
      <c r="A55" s="2" t="inlineStr">
        <is>
          <t>total_assets</t>
        </is>
      </c>
      <c r="B55" s="9" t="inlineStr">
        <is>
          <t>Total Assets</t>
        </is>
      </c>
      <c r="C55" s="8" t="n">
        <v>1151</v>
      </c>
      <c r="D55" s="8" t="n">
        <v>1473</v>
      </c>
    </row>
    <row r="57">
      <c r="A57" s="4" t="inlineStr">
        <is>
          <t>STATEMENT OF PROFIT &amp; LOSS</t>
        </is>
      </c>
      <c r="B57" s="5" t="n"/>
      <c r="C57" s="5" t="n"/>
      <c r="D57" s="5" t="n"/>
    </row>
    <row r="58">
      <c r="A58" s="2" t="inlineStr">
        <is>
          <t>revenue</t>
        </is>
      </c>
      <c r="B58" s="7" t="inlineStr">
        <is>
          <t>Revenue from Operations</t>
        </is>
      </c>
      <c r="C58" s="8" t="n">
        <v>1250</v>
      </c>
      <c r="D58" s="8" t="n">
        <v>1350</v>
      </c>
    </row>
    <row r="59">
      <c r="A59" s="2" t="inlineStr">
        <is>
          <t>other_income</t>
        </is>
      </c>
      <c r="B59" s="7" t="inlineStr">
        <is>
          <t>Other Income</t>
        </is>
      </c>
      <c r="C59" s="8" t="n">
        <v>12</v>
      </c>
      <c r="D59" s="8" t="n">
        <v>18</v>
      </c>
    </row>
    <row r="60">
      <c r="A60" s="2" t="inlineStr">
        <is>
          <t>interest_income</t>
        </is>
      </c>
      <c r="B60" s="7" t="inlineStr">
        <is>
          <t>of which: Interest Income</t>
        </is>
      </c>
      <c r="C60" s="8" t="n"/>
      <c r="D60" s="8" t="n"/>
    </row>
    <row r="61">
      <c r="A61" s="2" t="inlineStr">
        <is>
          <t>total_income</t>
        </is>
      </c>
      <c r="B61" s="9" t="inlineStr">
        <is>
          <t>Total Income</t>
        </is>
      </c>
      <c r="C61" s="8" t="n">
        <v>1262</v>
      </c>
      <c r="D61" s="8" t="n">
        <v>1368</v>
      </c>
    </row>
    <row r="62">
      <c r="A62" s="2" t="inlineStr">
        <is>
          <t>cost_of_materials</t>
        </is>
      </c>
      <c r="B62" s="7" t="inlineStr">
        <is>
          <t>Cost of Materials Consumed</t>
        </is>
      </c>
      <c r="C62" s="8" t="n">
        <v>760</v>
      </c>
      <c r="D62" s="8" t="n">
        <v>820</v>
      </c>
    </row>
    <row r="63">
      <c r="A63" s="2" t="inlineStr">
        <is>
          <t>purchases_stock</t>
        </is>
      </c>
      <c r="B63" s="7" t="inlineStr">
        <is>
          <t>Purchases of Stock-in-Trade</t>
        </is>
      </c>
      <c r="C63" s="8" t="n">
        <v>35</v>
      </c>
      <c r="D63" s="8" t="n">
        <v>40</v>
      </c>
    </row>
    <row r="64">
      <c r="A64" s="2" t="inlineStr">
        <is>
          <t>change_in_inventories</t>
        </is>
      </c>
      <c r="B64" s="7" t="inlineStr">
        <is>
          <t>Changes in Inventories</t>
        </is>
      </c>
      <c r="C64" s="8" t="n">
        <v>-10</v>
      </c>
      <c r="D64" s="8" t="n">
        <v>-20</v>
      </c>
    </row>
    <row r="65">
      <c r="A65" s="2" t="inlineStr">
        <is>
          <t>employee_cost</t>
        </is>
      </c>
      <c r="B65" s="7" t="inlineStr">
        <is>
          <t>Employee Benefits Expense</t>
        </is>
      </c>
      <c r="C65" s="8" t="n">
        <v>88</v>
      </c>
      <c r="D65" s="8" t="n">
        <v>95</v>
      </c>
    </row>
    <row r="66">
      <c r="A66" s="2" t="inlineStr">
        <is>
          <t>finance_cost</t>
        </is>
      </c>
      <c r="B66" s="7" t="inlineStr">
        <is>
          <t>Finance Costs</t>
        </is>
      </c>
      <c r="C66" s="8" t="n">
        <v>45</v>
      </c>
      <c r="D66" s="8" t="n">
        <v>62</v>
      </c>
    </row>
    <row r="67">
      <c r="A67" s="2" t="inlineStr">
        <is>
          <t>depreciation</t>
        </is>
      </c>
      <c r="B67" s="7" t="inlineStr">
        <is>
          <t>Depreciation &amp; Amortisation</t>
        </is>
      </c>
      <c r="C67" s="8" t="n">
        <v>36</v>
      </c>
      <c r="D67" s="8" t="n">
        <v>38</v>
      </c>
    </row>
    <row r="68">
      <c r="A68" s="2" t="inlineStr">
        <is>
          <t>other_expenses</t>
        </is>
      </c>
      <c r="B68" s="7" t="inlineStr">
        <is>
          <t>Other Expenses</t>
        </is>
      </c>
      <c r="C68" s="8" t="n">
        <v>170</v>
      </c>
      <c r="D68" s="8" t="n">
        <v>185</v>
      </c>
    </row>
    <row r="69">
      <c r="A69" s="2" t="inlineStr">
        <is>
          <t>total_expenses</t>
        </is>
      </c>
      <c r="B69" s="9" t="inlineStr">
        <is>
          <t>Total Expenses</t>
        </is>
      </c>
      <c r="C69" s="8" t="n">
        <v>1124</v>
      </c>
      <c r="D69" s="8" t="n">
        <v>1220</v>
      </c>
    </row>
    <row r="70">
      <c r="A70" s="2" t="inlineStr">
        <is>
          <t>exceptional_items</t>
        </is>
      </c>
      <c r="B70" s="7" t="inlineStr">
        <is>
          <t>Exceptional Items (gain +, loss -)</t>
        </is>
      </c>
      <c r="C70" s="8" t="n"/>
      <c r="D70" s="8" t="n"/>
    </row>
    <row r="71">
      <c r="A71" s="2" t="inlineStr">
        <is>
          <t>pbt</t>
        </is>
      </c>
      <c r="B71" s="7" t="inlineStr">
        <is>
          <t>Profit Before Tax</t>
        </is>
      </c>
      <c r="C71" s="8" t="n">
        <v>138</v>
      </c>
      <c r="D71" s="8" t="n">
        <v>148</v>
      </c>
    </row>
    <row r="72">
      <c r="A72" s="2" t="inlineStr">
        <is>
          <t>tax_expense</t>
        </is>
      </c>
      <c r="B72" s="7" t="inlineStr">
        <is>
          <t>Total Tax Expense</t>
        </is>
      </c>
      <c r="C72" s="8" t="n">
        <v>35</v>
      </c>
      <c r="D72" s="8" t="n">
        <v>37</v>
      </c>
    </row>
    <row r="73">
      <c r="A73" s="2" t="inlineStr">
        <is>
          <t>pat</t>
        </is>
      </c>
      <c r="B73" s="7" t="inlineStr">
        <is>
          <t>Profit After Tax</t>
        </is>
      </c>
      <c r="C73" s="8" t="n">
        <v>103</v>
      </c>
      <c r="D73" s="8" t="n">
        <v>111</v>
      </c>
    </row>
    <row r="75">
      <c r="A75" s="4" t="inlineStr">
        <is>
          <t>CASH FLOW STATEMENT</t>
        </is>
      </c>
      <c r="B75" s="5" t="n"/>
      <c r="C75" s="5" t="n"/>
      <c r="D75" s="5" t="n"/>
    </row>
    <row r="76">
      <c r="A76" s="2" t="inlineStr">
        <is>
          <t>cfo</t>
        </is>
      </c>
      <c r="B76" s="7" t="inlineStr">
        <is>
          <t>Net Cash from Operating Activities</t>
        </is>
      </c>
      <c r="C76" s="8" t="n">
        <v>120</v>
      </c>
      <c r="D76" s="8" t="n">
        <v>35</v>
      </c>
    </row>
    <row r="77">
      <c r="A77" s="2" t="inlineStr">
        <is>
          <t>cfi</t>
        </is>
      </c>
      <c r="B77" s="7" t="inlineStr">
        <is>
          <t>Net Cash from Investing Activities</t>
        </is>
      </c>
      <c r="C77" s="8" t="n">
        <v>-58.8</v>
      </c>
      <c r="D77" s="8" t="n">
        <v>-171.4</v>
      </c>
    </row>
    <row r="78">
      <c r="A78" s="2" t="inlineStr">
        <is>
          <t>cff</t>
        </is>
      </c>
      <c r="B78" s="7" t="inlineStr">
        <is>
          <t>Net Cash from Financing Activities</t>
        </is>
      </c>
      <c r="C78" s="8" t="n">
        <v>-91.2</v>
      </c>
      <c r="D78" s="8" t="n">
        <v>161.4</v>
      </c>
    </row>
    <row r="79">
      <c r="A79" s="2" t="inlineStr">
        <is>
          <t>capex</t>
        </is>
      </c>
      <c r="B79" s="7" t="inlineStr">
        <is>
          <t>Capex (Purchase of PPE &amp; Intangibles, outflow)</t>
        </is>
      </c>
      <c r="C79" s="8" t="n">
        <v>-40</v>
      </c>
      <c r="D79" s="8" t="n">
        <v>-48</v>
      </c>
    </row>
    <row r="80">
      <c r="A80" s="2" t="inlineStr">
        <is>
          <t>dividend_paid</t>
        </is>
      </c>
      <c r="B80" s="7" t="inlineStr">
        <is>
          <t>Dividend Paid</t>
        </is>
      </c>
      <c r="C80" s="8" t="n">
        <v>26.2</v>
      </c>
      <c r="D80" s="8" t="n">
        <v>25.6</v>
      </c>
    </row>
    <row r="82">
      <c r="A82" s="4" t="inlineStr">
        <is>
          <t>KEY DISCLOSURES (Notes)</t>
        </is>
      </c>
      <c r="B82" s="5" t="n"/>
      <c r="C82" s="5" t="n"/>
      <c r="D82" s="5" t="n"/>
    </row>
    <row r="83">
      <c r="A83" s="2" t="inlineStr">
        <is>
          <t>contingent_liabilities</t>
        </is>
      </c>
      <c r="B83" s="7" t="inlineStr">
        <is>
          <t>Contingent Liabilities (not provided for)</t>
        </is>
      </c>
      <c r="C83" s="8" t="n"/>
      <c r="D83" s="8" t="n"/>
    </row>
    <row r="84">
      <c r="A84" s="2" t="inlineStr">
        <is>
          <t>guarantees_given</t>
        </is>
      </c>
      <c r="B84" s="7" t="inlineStr">
        <is>
          <t>of which: Corporate Guarantees Given (memo)</t>
        </is>
      </c>
      <c r="C84" s="8" t="n"/>
      <c r="D84" s="8" t="n"/>
    </row>
    <row r="85">
      <c r="A85" s="2" t="inlineStr">
        <is>
          <t>rpt_sales</t>
        </is>
      </c>
      <c r="B85" s="7" t="inlineStr">
        <is>
          <t>Sales to Related Parties</t>
        </is>
      </c>
      <c r="C85" s="8" t="n"/>
      <c r="D85" s="8" t="n"/>
    </row>
    <row r="86">
      <c r="A86" s="2" t="inlineStr">
        <is>
          <t>rpt_purchases</t>
        </is>
      </c>
      <c r="B86" s="7" t="inlineStr">
        <is>
          <t>Purchases from Related Parties</t>
        </is>
      </c>
      <c r="C86" s="8" t="n"/>
      <c r="D86" s="8" t="n"/>
    </row>
    <row r="87">
      <c r="A87" s="2" t="inlineStr">
        <is>
          <t>rpt_loans_given</t>
        </is>
      </c>
      <c r="B87" s="7" t="inlineStr">
        <is>
          <t>Loans/Advances to Related Parties (closing)</t>
        </is>
      </c>
      <c r="C87" s="8" t="n"/>
      <c r="D87" s="8" t="n"/>
    </row>
    <row r="88">
      <c r="A88" s="2" t="inlineStr">
        <is>
          <t>promoter_pledge_pct</t>
        </is>
      </c>
      <c r="B88" s="7" t="inlineStr">
        <is>
          <t>Promoter Shares Pledged (%)</t>
        </is>
      </c>
      <c r="C88" s="10" t="n"/>
      <c r="D88" s="10" t="n"/>
    </row>
    <row r="89">
      <c r="A89" s="2" t="inlineStr">
        <is>
          <t>market_cap</t>
        </is>
      </c>
      <c r="B89" s="7" t="inlineStr">
        <is>
          <t>Market Capitalisation (if listed)</t>
        </is>
      </c>
      <c r="C89" s="8" t="n"/>
      <c r="D89" s="8" t="n"/>
    </row>
    <row r="91">
      <c r="B91" s="2" t="inlineStr">
        <is>
          <t>Check: Total Assets - Total Equity &amp; Liabilities (should be 0)</t>
        </is>
      </c>
      <c r="C91" s="11">
        <f>C55-C29</f>
        <v/>
      </c>
      <c r="D91" s="11">
        <f>D55-D29</f>
        <v/>
      </c>
    </row>
    <row r="93">
      <c r="A93" s="4" t="inlineStr">
        <is>
          <t>DERIVED FIGURES (formulas)</t>
        </is>
      </c>
      <c r="B93" s="5" t="n"/>
      <c r="C93" s="5" t="n"/>
      <c r="D93" s="5" t="n"/>
    </row>
    <row r="94">
      <c r="A94" s="2" t="inlineStr">
        <is>
          <t>total_debt</t>
        </is>
      </c>
      <c r="B94" s="9" t="inlineStr">
        <is>
          <t>Total Debt (LT + ST borrowings + leases)</t>
        </is>
      </c>
      <c r="C94" s="12">
        <f>C12+C19+C13+C21</f>
        <v/>
      </c>
      <c r="D94" s="12">
        <f>D12+D19+D13+D21</f>
        <v/>
      </c>
    </row>
    <row r="95">
      <c r="A95" s="2" t="inlineStr">
        <is>
          <t>liquid_funds</t>
        </is>
      </c>
      <c r="B95" s="9" t="inlineStr">
        <is>
          <t>Liquid Funds (cash + bank + current investments)</t>
        </is>
      </c>
      <c r="C95" s="12">
        <f>C47+C48+C45</f>
        <v/>
      </c>
      <c r="D95" s="12">
        <f>D47+D48+D45</f>
        <v/>
      </c>
    </row>
    <row r="96">
      <c r="A96" s="2" t="inlineStr">
        <is>
          <t>net_debt</t>
        </is>
      </c>
      <c r="B96" s="9" t="inlineStr">
        <is>
          <t>Net Debt</t>
        </is>
      </c>
      <c r="C96" s="12">
        <f>C94-C95</f>
        <v/>
      </c>
      <c r="D96" s="12">
        <f>D94-D95</f>
        <v/>
      </c>
    </row>
    <row r="97">
      <c r="A97" s="2" t="inlineStr">
        <is>
          <t>cogs</t>
        </is>
      </c>
      <c r="B97" s="9" t="inlineStr">
        <is>
          <t>Cost of Goods Sold</t>
        </is>
      </c>
      <c r="C97" s="12">
        <f>C62+C63+C64</f>
        <v/>
      </c>
      <c r="D97" s="12">
        <f>D62+D63+D64</f>
        <v/>
      </c>
    </row>
    <row r="98">
      <c r="A98" s="2" t="inlineStr">
        <is>
          <t>ebitda</t>
        </is>
      </c>
      <c r="B98" s="9" t="inlineStr">
        <is>
          <t>EBITDA (operating, excl. other income)</t>
        </is>
      </c>
      <c r="C98" s="12">
        <f>C71-C70+C66+C67-C59</f>
        <v/>
      </c>
      <c r="D98" s="12">
        <f>D71-D70+D66+D67-D59</f>
        <v/>
      </c>
    </row>
    <row r="99">
      <c r="A99" s="2" t="inlineStr">
        <is>
          <t>ebit</t>
        </is>
      </c>
      <c r="B99" s="9" t="inlineStr">
        <is>
          <t>EBIT (incl. other income)</t>
        </is>
      </c>
      <c r="C99" s="12">
        <f>C71-C70+C66</f>
        <v/>
      </c>
      <c r="D99" s="12">
        <f>D71-D70+D66</f>
        <v/>
      </c>
    </row>
    <row r="100">
      <c r="A100" s="2" t="inlineStr">
        <is>
          <t>tol</t>
        </is>
      </c>
      <c r="B100" s="9" t="inlineStr">
        <is>
          <t>Total Outside Liabilities (TOL)</t>
        </is>
      </c>
      <c r="C100" s="12">
        <f>C55-C9-C10</f>
        <v/>
      </c>
      <c r="D100" s="12">
        <f>D55-D9-D10</f>
        <v/>
      </c>
    </row>
    <row r="101">
      <c r="A101" s="2" t="inlineStr">
        <is>
          <t>tnw</t>
        </is>
      </c>
      <c r="B101" s="9" t="inlineStr">
        <is>
          <t>Tangible Net Worth (TNW)</t>
        </is>
      </c>
      <c r="C101" s="12">
        <f>C9-C35-C36</f>
        <v/>
      </c>
      <c r="D101" s="12">
        <f>D9-D35-D36</f>
        <v/>
      </c>
    </row>
    <row r="102">
      <c r="A102" s="2" t="inlineStr">
        <is>
          <t>nwc</t>
        </is>
      </c>
      <c r="B102" s="9" t="inlineStr">
        <is>
          <t>Net Working Capital</t>
        </is>
      </c>
      <c r="C102" s="12">
        <f>C53-C27</f>
        <v/>
      </c>
      <c r="D102" s="12">
        <f>D53-D27</f>
        <v/>
      </c>
    </row>
    <row r="103">
      <c r="A103" s="2" t="inlineStr">
        <is>
          <t>loans_advances</t>
        </is>
      </c>
      <c r="B103" s="9" t="inlineStr">
        <is>
          <t>Loans &amp; Advances given (current + non-current)</t>
        </is>
      </c>
      <c r="C103" s="12">
        <f>C38+C49</f>
        <v/>
      </c>
      <c r="D103" s="12">
        <f>D38+D49</f>
        <v/>
      </c>
    </row>
    <row r="104">
      <c r="A104" s="2" t="inlineStr">
        <is>
          <t>fcf</t>
        </is>
      </c>
      <c r="B104" s="9" t="inlineStr">
        <is>
          <t>Free Cash Flow (CFO - capex)</t>
        </is>
      </c>
      <c r="C104" s="12">
        <f>C76-ABS(C79)</f>
        <v/>
      </c>
      <c r="D104" s="12">
        <f>D76-ABS(D79)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0" customWidth="1" min="5" max="5"/>
    <col width="14" customWidth="1" min="6" max="6"/>
    <col width="12" customWidth="1" min="7" max="7"/>
    <col width="60" customWidth="1" min="8" max="8"/>
  </cols>
  <sheetData>
    <row r="1">
      <c r="A1" s="1" t="inlineStr">
        <is>
          <t>Deccan Polyfab Industries Ltd (fictional sample) - Ratio Analysis (live formulas on 'Balance Sheet')</t>
        </is>
      </c>
    </row>
    <row r="2">
      <c r="A2" s="2" t="inlineStr">
        <is>
          <t>Green = within benchmark, amber = watch, red = outside benchmark. Benchmarks are general bank norms; adjust to your policy.</t>
        </is>
      </c>
    </row>
    <row r="4">
      <c r="A4" s="3" t="inlineStr">
        <is>
          <t>Category</t>
        </is>
      </c>
      <c r="B4" s="3" t="inlineStr">
        <is>
          <t>Ratio</t>
        </is>
      </c>
      <c r="C4" s="3" t="inlineStr">
        <is>
          <t>FY2024</t>
        </is>
      </c>
      <c r="D4" s="3" t="inlineStr">
        <is>
          <t>FY2025</t>
        </is>
      </c>
      <c r="E4" s="3" t="inlineStr">
        <is>
          <t>Good if</t>
        </is>
      </c>
      <c r="F4" s="3" t="inlineStr">
        <is>
          <t>Benchmark (good)</t>
        </is>
      </c>
      <c r="G4" s="3" t="inlineStr">
        <is>
          <t>Red line</t>
        </is>
      </c>
      <c r="H4" s="3" t="inlineStr">
        <is>
          <t>Formula / note</t>
        </is>
      </c>
    </row>
    <row r="5">
      <c r="A5" s="4" t="inlineStr">
        <is>
          <t>Liquidity</t>
        </is>
      </c>
      <c r="B5" s="5" t="n"/>
      <c r="C5" s="5" t="n"/>
      <c r="D5" s="5" t="n"/>
      <c r="E5" s="5" t="n"/>
      <c r="F5" s="5" t="n"/>
      <c r="G5" s="5" t="n"/>
      <c r="H5" s="5" t="n"/>
    </row>
    <row r="6">
      <c r="B6" s="7" t="inlineStr">
        <is>
          <t>Current Ratio</t>
        </is>
      </c>
      <c r="C6" s="13">
        <f>IFERROR('Balance Sheet'!C53/'Balance Sheet'!C27,"n.a.")</f>
        <v/>
      </c>
      <c r="D6" s="13">
        <f>IFERROR('Balance Sheet'!D53/'Balance Sheet'!D27,"n.a.")</f>
        <v/>
      </c>
      <c r="E6" s="2" t="inlineStr">
        <is>
          <t>Higher</t>
        </is>
      </c>
      <c r="F6" s="14" t="n">
        <v>1.33</v>
      </c>
      <c r="G6" s="14" t="n">
        <v>1</v>
      </c>
      <c r="H6" s="2" t="inlineStr">
        <is>
          <t>Bank benchmark 1.33x  | total_current_assets/total_current_liabilities</t>
        </is>
      </c>
    </row>
    <row r="7">
      <c r="B7" s="7" t="inlineStr">
        <is>
          <t>Quick Ratio</t>
        </is>
      </c>
      <c r="C7" s="13">
        <f>IFERROR(('Balance Sheet'!C53-'Balance Sheet'!C44)/'Balance Sheet'!C27,"n.a.")</f>
        <v/>
      </c>
      <c r="D7" s="13">
        <f>IFERROR(('Balance Sheet'!D53-'Balance Sheet'!D44)/'Balance Sheet'!D27,"n.a.")</f>
        <v/>
      </c>
      <c r="E7" s="2" t="inlineStr">
        <is>
          <t>Higher</t>
        </is>
      </c>
      <c r="F7" s="14" t="n">
        <v>1</v>
      </c>
      <c r="G7" s="14" t="n">
        <v>0.7</v>
      </c>
      <c r="H7" s="2" t="inlineStr">
        <is>
          <t>(total_current_assets-inventories)/total_current_liabilities</t>
        </is>
      </c>
    </row>
    <row r="8">
      <c r="B8" s="7" t="inlineStr">
        <is>
          <t>Cash Ratio</t>
        </is>
      </c>
      <c r="C8" s="13">
        <f>IFERROR('Balance Sheet'!C95/'Balance Sheet'!C27,"n.a.")</f>
        <v/>
      </c>
      <c r="D8" s="13">
        <f>IFERROR('Balance Sheet'!D95/'Balance Sheet'!D27,"n.a.")</f>
        <v/>
      </c>
      <c r="E8" s="2" t="inlineStr">
        <is>
          <t>Higher</t>
        </is>
      </c>
      <c r="F8" s="14" t="n">
        <v>0.3</v>
      </c>
      <c r="G8" s="14" t="n">
        <v>0.1</v>
      </c>
      <c r="H8" s="2" t="inlineStr">
        <is>
          <t>liquid_funds/total_current_liabilities</t>
        </is>
      </c>
    </row>
    <row r="9">
      <c r="B9" s="7" t="inlineStr">
        <is>
          <t>Net Working Capital (Cr)</t>
        </is>
      </c>
      <c r="C9" s="15">
        <f>IFERROR('Balance Sheet'!C102,"n.a.")</f>
        <v/>
      </c>
      <c r="D9" s="15">
        <f>IFERROR('Balance Sheet'!D102,"n.a.")</f>
        <v/>
      </c>
      <c r="E9" s="2" t="inlineStr">
        <is>
          <t>Higher</t>
        </is>
      </c>
      <c r="F9" s="16" t="n">
        <v>0</v>
      </c>
      <c r="G9" s="16" t="n">
        <v>-0.0001</v>
      </c>
      <c r="H9" s="2" t="inlineStr">
        <is>
          <t>Negative NWC = short-term funds in long-term assets  | nwc</t>
        </is>
      </c>
    </row>
    <row r="10">
      <c r="B10" s="7" t="inlineStr">
        <is>
          <t>MPBF - Tandon Method II (Cr)</t>
        </is>
      </c>
      <c r="C10" s="15">
        <f>IFERROR(0.75*'Balance Sheet'!C53-('Balance Sheet'!C27-'Balance Sheet'!C19),"n.a.")</f>
        <v/>
      </c>
      <c r="D10" s="15">
        <f>IFERROR(0.75*'Balance Sheet'!D53-('Balance Sheet'!D27-'Balance Sheet'!D19),"n.a.")</f>
        <v/>
      </c>
      <c r="E10" s="2" t="inlineStr">
        <is>
          <t>-</t>
        </is>
      </c>
      <c r="H10" s="2" t="inlineStr">
        <is>
          <t>Max permissible bank finance  | 0.75*total_current_assets-(total_current_liabilities-short_term_borrowings)</t>
        </is>
      </c>
    </row>
    <row r="11">
      <c r="A11" s="4" t="inlineStr">
        <is>
          <t>Leverage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B12" s="7" t="inlineStr">
        <is>
          <t>Debt / Equity</t>
        </is>
      </c>
      <c r="C12" s="13">
        <f>IFERROR('Balance Sheet'!C94/'Balance Sheet'!C9,"n.a.")</f>
        <v/>
      </c>
      <c r="D12" s="13">
        <f>IFERROR('Balance Sheet'!D94/'Balance Sheet'!D9,"n.a.")</f>
        <v/>
      </c>
      <c r="E12" s="2" t="inlineStr">
        <is>
          <t>Lower</t>
        </is>
      </c>
      <c r="F12" s="14" t="n">
        <v>1</v>
      </c>
      <c r="G12" s="14" t="n">
        <v>2</v>
      </c>
      <c r="H12" s="2" t="inlineStr">
        <is>
          <t>total_debt/total_equity</t>
        </is>
      </c>
    </row>
    <row r="13">
      <c r="B13" s="7" t="inlineStr">
        <is>
          <t>TOL / TNW</t>
        </is>
      </c>
      <c r="C13" s="13">
        <f>IFERROR('Balance Sheet'!C100/'Balance Sheet'!C101,"n.a.")</f>
        <v/>
      </c>
      <c r="D13" s="13">
        <f>IFERROR('Balance Sheet'!D100/'Balance Sheet'!D101,"n.a.")</f>
        <v/>
      </c>
      <c r="E13" s="2" t="inlineStr">
        <is>
          <t>Lower</t>
        </is>
      </c>
      <c r="F13" s="14" t="n">
        <v>3</v>
      </c>
      <c r="G13" s="14" t="n">
        <v>4</v>
      </c>
      <c r="H13" s="2" t="inlineStr">
        <is>
          <t>Bank benchmark &lt;= 3x  | tol/tnw</t>
        </is>
      </c>
    </row>
    <row r="14">
      <c r="B14" s="7" t="inlineStr">
        <is>
          <t>Total Debt / EBITDA</t>
        </is>
      </c>
      <c r="C14" s="13">
        <f>IFERROR('Balance Sheet'!C94/'Balance Sheet'!C98,"n.a.")</f>
        <v/>
      </c>
      <c r="D14" s="13">
        <f>IFERROR('Balance Sheet'!D94/'Balance Sheet'!D98,"n.a.")</f>
        <v/>
      </c>
      <c r="E14" s="2" t="inlineStr">
        <is>
          <t>Lower</t>
        </is>
      </c>
      <c r="F14" s="14" t="n">
        <v>3</v>
      </c>
      <c r="G14" s="14" t="n">
        <v>5</v>
      </c>
      <c r="H14" s="2" t="inlineStr">
        <is>
          <t>total_debt/ebitda</t>
        </is>
      </c>
    </row>
    <row r="15">
      <c r="B15" s="7" t="inlineStr">
        <is>
          <t>Net Debt / EBITDA</t>
        </is>
      </c>
      <c r="C15" s="13">
        <f>IFERROR('Balance Sheet'!C96/'Balance Sheet'!C98,"n.a.")</f>
        <v/>
      </c>
      <c r="D15" s="13">
        <f>IFERROR('Balance Sheet'!D96/'Balance Sheet'!D98,"n.a.")</f>
        <v/>
      </c>
      <c r="E15" s="2" t="inlineStr">
        <is>
          <t>Lower</t>
        </is>
      </c>
      <c r="F15" s="14" t="n">
        <v>2.5</v>
      </c>
      <c r="G15" s="14" t="n">
        <v>4.5</v>
      </c>
      <c r="H15" s="2" t="inlineStr">
        <is>
          <t>net_debt/ebitda</t>
        </is>
      </c>
    </row>
    <row r="16">
      <c r="A16" s="4" t="inlineStr">
        <is>
          <t>Coverage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B17" s="7" t="inlineStr">
        <is>
          <t>Interest Coverage (EBIT / Finance cost)</t>
        </is>
      </c>
      <c r="C17" s="13">
        <f>IF(ABS('Balance Sheet'!C66)=0,"n.a.",IFERROR('Balance Sheet'!C99/'Balance Sheet'!C66,"n.a."))</f>
        <v/>
      </c>
      <c r="D17" s="13">
        <f>IF(ABS('Balance Sheet'!D66)=0,"n.a.",IFERROR('Balance Sheet'!D99/'Balance Sheet'!D66,"n.a."))</f>
        <v/>
      </c>
      <c r="E17" s="2" t="inlineStr">
        <is>
          <t>Higher</t>
        </is>
      </c>
      <c r="F17" s="14" t="n">
        <v>3</v>
      </c>
      <c r="G17" s="14" t="n">
        <v>1.5</v>
      </c>
      <c r="H17" s="2" t="inlineStr">
        <is>
          <t>ebit/finance_cost</t>
        </is>
      </c>
    </row>
    <row r="18">
      <c r="B18" s="7" t="inlineStr">
        <is>
          <t>EBITDA / Finance cost</t>
        </is>
      </c>
      <c r="C18" s="13">
        <f>IF(ABS('Balance Sheet'!C66)=0,"n.a.",IFERROR('Balance Sheet'!C98/'Balance Sheet'!C66,"n.a."))</f>
        <v/>
      </c>
      <c r="D18" s="13">
        <f>IF(ABS('Balance Sheet'!D66)=0,"n.a.",IFERROR('Balance Sheet'!D98/'Balance Sheet'!D66,"n.a."))</f>
        <v/>
      </c>
      <c r="E18" s="2" t="inlineStr">
        <is>
          <t>Higher</t>
        </is>
      </c>
      <c r="F18" s="14" t="n">
        <v>4</v>
      </c>
      <c r="G18" s="14" t="n">
        <v>2</v>
      </c>
      <c r="H18" s="2" t="inlineStr">
        <is>
          <t>ebitda/finance_cost</t>
        </is>
      </c>
    </row>
    <row r="19">
      <c r="B19" s="7" t="inlineStr">
        <is>
          <t>DSCR (approx.)</t>
        </is>
      </c>
      <c r="C19" s="13">
        <f>IF(ABS('Balance Sheet'!C20)=0,"n.a.",IFERROR(('Balance Sheet'!C73+'Balance Sheet'!C67+'Balance Sheet'!C66)/('Balance Sheet'!C66+'Balance Sheet'!C20),"n.a."))</f>
        <v/>
      </c>
      <c r="D19" s="13">
        <f>IF(ABS('Balance Sheet'!D20)=0,"n.a.",IFERROR(('Balance Sheet'!D73+'Balance Sheet'!D67+'Balance Sheet'!D66)/('Balance Sheet'!D66+'Balance Sheet'!D20),"n.a."))</f>
        <v/>
      </c>
      <c r="E19" s="2" t="inlineStr">
        <is>
          <t>Higher</t>
        </is>
      </c>
      <c r="F19" s="14" t="n">
        <v>1.5</v>
      </c>
      <c r="G19" s="14" t="n">
        <v>1.2</v>
      </c>
      <c r="H19" s="2" t="inlineStr">
        <is>
          <t>(PAT+Dep+Int)/(Int+current maturities)  | (pat+depreciation+finance_cost)/(finance_cost+current_maturities_ltd)</t>
        </is>
      </c>
    </row>
    <row r="20">
      <c r="A20" s="4" t="inlineStr">
        <is>
          <t>Profitability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B21" s="7" t="inlineStr">
        <is>
          <t>EBITDA Margin</t>
        </is>
      </c>
      <c r="C21" s="17">
        <f>IFERROR('Balance Sheet'!C98/'Balance Sheet'!C58,"n.a.")</f>
        <v/>
      </c>
      <c r="D21" s="17">
        <f>IFERROR('Balance Sheet'!D98/'Balance Sheet'!D58,"n.a.")</f>
        <v/>
      </c>
      <c r="E21" s="2" t="inlineStr">
        <is>
          <t>Higher</t>
        </is>
      </c>
      <c r="F21" s="18" t="n">
        <v>0.12</v>
      </c>
      <c r="G21" s="18" t="n">
        <v>0.05</v>
      </c>
      <c r="H21" s="2" t="inlineStr">
        <is>
          <t>ebitda/revenue</t>
        </is>
      </c>
    </row>
    <row r="22">
      <c r="B22" s="7" t="inlineStr">
        <is>
          <t>PAT Margin</t>
        </is>
      </c>
      <c r="C22" s="17">
        <f>IFERROR('Balance Sheet'!C73/'Balance Sheet'!C58,"n.a.")</f>
        <v/>
      </c>
      <c r="D22" s="17">
        <f>IFERROR('Balance Sheet'!D73/'Balance Sheet'!D58,"n.a.")</f>
        <v/>
      </c>
      <c r="E22" s="2" t="inlineStr">
        <is>
          <t>Higher</t>
        </is>
      </c>
      <c r="F22" s="18" t="n">
        <v>0.06</v>
      </c>
      <c r="G22" s="18" t="n">
        <v>0</v>
      </c>
      <c r="H22" s="2" t="inlineStr">
        <is>
          <t>pat/revenue</t>
        </is>
      </c>
    </row>
    <row r="23">
      <c r="B23" s="7" t="inlineStr">
        <is>
          <t>Return on Equity (closing)</t>
        </is>
      </c>
      <c r="C23" s="17">
        <f>IFERROR('Balance Sheet'!C73/'Balance Sheet'!C9,"n.a.")</f>
        <v/>
      </c>
      <c r="D23" s="17">
        <f>IFERROR('Balance Sheet'!D73/'Balance Sheet'!D9,"n.a.")</f>
        <v/>
      </c>
      <c r="E23" s="2" t="inlineStr">
        <is>
          <t>Higher</t>
        </is>
      </c>
      <c r="F23" s="18" t="n">
        <v>0.15</v>
      </c>
      <c r="G23" s="18" t="n">
        <v>0.05</v>
      </c>
      <c r="H23" s="2" t="inlineStr">
        <is>
          <t>pat/total_equity</t>
        </is>
      </c>
    </row>
    <row r="24">
      <c r="B24" s="7" t="inlineStr">
        <is>
          <t>ROCE (EBIT / (Equity + Debt))</t>
        </is>
      </c>
      <c r="C24" s="17">
        <f>IFERROR('Balance Sheet'!C99/('Balance Sheet'!C9+'Balance Sheet'!C94),"n.a.")</f>
        <v/>
      </c>
      <c r="D24" s="17">
        <f>IFERROR('Balance Sheet'!D99/('Balance Sheet'!D9+'Balance Sheet'!D94),"n.a.")</f>
        <v/>
      </c>
      <c r="E24" s="2" t="inlineStr">
        <is>
          <t>Higher</t>
        </is>
      </c>
      <c r="F24" s="18" t="n">
        <v>0.15</v>
      </c>
      <c r="G24" s="18" t="n">
        <v>0.08</v>
      </c>
      <c r="H24" s="2" t="inlineStr">
        <is>
          <t>ebit/(total_equity+total_debt)</t>
        </is>
      </c>
    </row>
    <row r="25">
      <c r="B25" s="7" t="inlineStr">
        <is>
          <t>Return on Assets</t>
        </is>
      </c>
      <c r="C25" s="17">
        <f>IFERROR('Balance Sheet'!C73/'Balance Sheet'!C55,"n.a.")</f>
        <v/>
      </c>
      <c r="D25" s="17">
        <f>IFERROR('Balance Sheet'!D73/'Balance Sheet'!D55,"n.a.")</f>
        <v/>
      </c>
      <c r="E25" s="2" t="inlineStr">
        <is>
          <t>Higher</t>
        </is>
      </c>
      <c r="F25" s="18" t="n">
        <v>0.06</v>
      </c>
      <c r="G25" s="18" t="n">
        <v>0.02</v>
      </c>
      <c r="H25" s="2" t="inlineStr">
        <is>
          <t>pat/total_assets</t>
        </is>
      </c>
    </row>
    <row r="26">
      <c r="A26" s="4" t="inlineStr">
        <is>
          <t>Efficiency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B27" s="7" t="inlineStr">
        <is>
          <t>Asset Turnover</t>
        </is>
      </c>
      <c r="C27" s="13">
        <f>IFERROR('Balance Sheet'!C58/'Balance Sheet'!C55,"n.a.")</f>
        <v/>
      </c>
      <c r="D27" s="13">
        <f>IFERROR('Balance Sheet'!D58/'Balance Sheet'!D55,"n.a.")</f>
        <v/>
      </c>
      <c r="E27" s="2" t="inlineStr">
        <is>
          <t>Higher</t>
        </is>
      </c>
      <c r="F27" s="14" t="n">
        <v>1</v>
      </c>
      <c r="G27" s="14" t="n">
        <v>0.5</v>
      </c>
      <c r="H27" s="2" t="inlineStr">
        <is>
          <t>revenue/total_assets</t>
        </is>
      </c>
    </row>
    <row r="28">
      <c r="B28" s="7" t="inlineStr">
        <is>
          <t>Fixed Asset Turnover</t>
        </is>
      </c>
      <c r="C28" s="13">
        <f>IFERROR('Balance Sheet'!C58/'Balance Sheet'!C31,"n.a.")</f>
        <v/>
      </c>
      <c r="D28" s="13">
        <f>IFERROR('Balance Sheet'!D58/'Balance Sheet'!D31,"n.a.")</f>
        <v/>
      </c>
      <c r="E28" s="2" t="inlineStr">
        <is>
          <t>Higher</t>
        </is>
      </c>
      <c r="F28" s="14" t="n">
        <v>2</v>
      </c>
      <c r="G28" s="14" t="n">
        <v>1</v>
      </c>
      <c r="H28" s="2" t="inlineStr">
        <is>
          <t>revenue/ppe</t>
        </is>
      </c>
    </row>
    <row r="29">
      <c r="B29" s="7" t="inlineStr">
        <is>
          <t>Debtor Days</t>
        </is>
      </c>
      <c r="C29" s="19">
        <f>IFERROR('Balance Sheet'!C46/'Balance Sheet'!C58*365,"n.a.")</f>
        <v/>
      </c>
      <c r="D29" s="19">
        <f>IFERROR('Balance Sheet'!D46/'Balance Sheet'!D58*365,"n.a.")</f>
        <v/>
      </c>
      <c r="E29" s="2" t="inlineStr">
        <is>
          <t>Lower</t>
        </is>
      </c>
      <c r="F29" s="20" t="n">
        <v>60</v>
      </c>
      <c r="G29" s="20" t="n">
        <v>120</v>
      </c>
      <c r="H29" s="2" t="inlineStr">
        <is>
          <t>trade_receivables/revenue*365</t>
        </is>
      </c>
    </row>
    <row r="30">
      <c r="B30" s="7" t="inlineStr">
        <is>
          <t>Inventory Days (on COGS)</t>
        </is>
      </c>
      <c r="C30" s="19">
        <f>IFERROR('Balance Sheet'!C44/MAX('Balance Sheet'!C97,0.0001)*365,"n.a.")</f>
        <v/>
      </c>
      <c r="D30" s="19">
        <f>IFERROR('Balance Sheet'!D44/MAX('Balance Sheet'!D97,0.0001)*365,"n.a.")</f>
        <v/>
      </c>
      <c r="E30" s="2" t="inlineStr">
        <is>
          <t>Lower</t>
        </is>
      </c>
      <c r="F30" s="20" t="n">
        <v>60</v>
      </c>
      <c r="G30" s="20" t="n">
        <v>120</v>
      </c>
      <c r="H30" s="2" t="inlineStr">
        <is>
          <t>inventories/MAX(cogs,0.0001)*365</t>
        </is>
      </c>
    </row>
    <row r="31">
      <c r="B31" s="7" t="inlineStr">
        <is>
          <t>Creditor Days (on COGS)</t>
        </is>
      </c>
      <c r="C31" s="19">
        <f>IFERROR('Balance Sheet'!C22/MAX('Balance Sheet'!C97,0.0001)*365,"n.a.")</f>
        <v/>
      </c>
      <c r="D31" s="19">
        <f>IFERROR('Balance Sheet'!D22/MAX('Balance Sheet'!D97,0.0001)*365,"n.a.")</f>
        <v/>
      </c>
      <c r="E31" s="2" t="inlineStr">
        <is>
          <t>-</t>
        </is>
      </c>
      <c r="H31" s="2" t="inlineStr">
        <is>
          <t>Very high = stretched suppliers  | trade_payables/MAX(cogs,0.0001)*365</t>
        </is>
      </c>
    </row>
    <row r="32">
      <c r="B32" s="7" t="inlineStr">
        <is>
          <t>Cash Conversion Cycle</t>
        </is>
      </c>
      <c r="C32" s="19">
        <f>IFERROR('Balance Sheet'!C46/'Balance Sheet'!C58*365+'Balance Sheet'!C44/MAX('Balance Sheet'!C97,0.0001)*365-'Balance Sheet'!C22/MAX('Balance Sheet'!C97,0.0001)*365,"n.a.")</f>
        <v/>
      </c>
      <c r="D32" s="19">
        <f>IFERROR('Balance Sheet'!D46/'Balance Sheet'!D58*365+'Balance Sheet'!D44/MAX('Balance Sheet'!D97,0.0001)*365-'Balance Sheet'!D22/MAX('Balance Sheet'!D97,0.0001)*365,"n.a.")</f>
        <v/>
      </c>
      <c r="E32" s="2" t="inlineStr">
        <is>
          <t>Lower</t>
        </is>
      </c>
      <c r="F32" s="20" t="n">
        <v>60</v>
      </c>
      <c r="G32" s="20" t="n">
        <v>120</v>
      </c>
      <c r="H32" s="2" t="inlineStr">
        <is>
          <t>trade_receivables/revenue*365+inventories/MAX(cogs,0.0001)*365-trade_payables/MAX(cogs,0.0001)*365</t>
        </is>
      </c>
    </row>
    <row r="33">
      <c r="A33" s="4" t="inlineStr">
        <is>
          <t>Cash Flow Quality</t>
        </is>
      </c>
      <c r="B33" s="5" t="n"/>
      <c r="C33" s="5" t="n"/>
      <c r="D33" s="5" t="n"/>
      <c r="E33" s="5" t="n"/>
      <c r="F33" s="5" t="n"/>
      <c r="G33" s="5" t="n"/>
      <c r="H33" s="5" t="n"/>
    </row>
    <row r="34">
      <c r="B34" s="7" t="inlineStr">
        <is>
          <t>CFO / EBITDA</t>
        </is>
      </c>
      <c r="C34" s="13">
        <f>IFERROR('Balance Sheet'!C76/'Balance Sheet'!C98,"n.a.")</f>
        <v/>
      </c>
      <c r="D34" s="13">
        <f>IFERROR('Balance Sheet'!D76/'Balance Sheet'!D98,"n.a.")</f>
        <v/>
      </c>
      <c r="E34" s="2" t="inlineStr">
        <is>
          <t>Higher</t>
        </is>
      </c>
      <c r="F34" s="14" t="n">
        <v>0.7</v>
      </c>
      <c r="G34" s="14" t="n">
        <v>0.4</v>
      </c>
      <c r="H34" s="2" t="inlineStr">
        <is>
          <t>Earnings converting to cash?  | cfo/ebitda</t>
        </is>
      </c>
    </row>
    <row r="35">
      <c r="B35" s="7" t="inlineStr">
        <is>
          <t>CFO / PAT</t>
        </is>
      </c>
      <c r="C35" s="13">
        <f>IFERROR('Balance Sheet'!C76/'Balance Sheet'!C73,"n.a.")</f>
        <v/>
      </c>
      <c r="D35" s="13">
        <f>IFERROR('Balance Sheet'!D76/'Balance Sheet'!D73,"n.a.")</f>
        <v/>
      </c>
      <c r="E35" s="2" t="inlineStr">
        <is>
          <t>Higher</t>
        </is>
      </c>
      <c r="F35" s="14" t="n">
        <v>1</v>
      </c>
      <c r="G35" s="14" t="n">
        <v>0.5</v>
      </c>
      <c r="H35" s="2" t="inlineStr">
        <is>
          <t>cfo/pat</t>
        </is>
      </c>
    </row>
    <row r="36">
      <c r="B36" s="7" t="inlineStr">
        <is>
          <t>Free Cash Flow (Cr)</t>
        </is>
      </c>
      <c r="C36" s="15">
        <f>IFERROR('Balance Sheet'!C104,"n.a.")</f>
        <v/>
      </c>
      <c r="D36" s="15">
        <f>IFERROR('Balance Sheet'!D104,"n.a.")</f>
        <v/>
      </c>
      <c r="E36" s="2" t="inlineStr">
        <is>
          <t>Higher</t>
        </is>
      </c>
      <c r="F36" s="16" t="n">
        <v>0</v>
      </c>
      <c r="G36" s="16" t="n">
        <v>-0.0001</v>
      </c>
      <c r="H36" s="2" t="inlineStr">
        <is>
          <t>fcf</t>
        </is>
      </c>
    </row>
    <row r="37">
      <c r="A37" s="4" t="inlineStr">
        <is>
          <t>Earnings Quality</t>
        </is>
      </c>
      <c r="B37" s="5" t="n"/>
      <c r="C37" s="5" t="n"/>
      <c r="D37" s="5" t="n"/>
      <c r="E37" s="5" t="n"/>
      <c r="F37" s="5" t="n"/>
      <c r="G37" s="5" t="n"/>
      <c r="H37" s="5" t="n"/>
    </row>
    <row r="38">
      <c r="B38" s="7" t="inlineStr">
        <is>
          <t>Other Income / PBT</t>
        </is>
      </c>
      <c r="C38" s="17">
        <f>IFERROR('Balance Sheet'!C59/'Balance Sheet'!C71,"n.a.")</f>
        <v/>
      </c>
      <c r="D38" s="17">
        <f>IFERROR('Balance Sheet'!D59/'Balance Sheet'!D71,"n.a.")</f>
        <v/>
      </c>
      <c r="E38" s="2" t="inlineStr">
        <is>
          <t>Lower</t>
        </is>
      </c>
      <c r="F38" s="18" t="n">
        <v>0.15</v>
      </c>
      <c r="G38" s="18" t="n">
        <v>0.3</v>
      </c>
      <c r="H38" s="2" t="inlineStr">
        <is>
          <t>High = core business weak  | other_income/pbt</t>
        </is>
      </c>
    </row>
    <row r="39">
      <c r="B39" s="7" t="inlineStr">
        <is>
          <t>Effective Tax Rate</t>
        </is>
      </c>
      <c r="C39" s="17">
        <f>IFERROR('Balance Sheet'!C72/'Balance Sheet'!C71,"n.a.")</f>
        <v/>
      </c>
      <c r="D39" s="17">
        <f>IFERROR('Balance Sheet'!D72/'Balance Sheet'!D71,"n.a.")</f>
        <v/>
      </c>
      <c r="E39" s="2" t="inlineStr">
        <is>
          <t>Within band</t>
        </is>
      </c>
      <c r="F39" s="18" t="n">
        <v>0.18</v>
      </c>
      <c r="G39" s="18" t="n">
        <v>0.1</v>
      </c>
      <c r="H39" s="2" t="inlineStr">
        <is>
          <t>Statutory ~25.17%  | tax_expense/pbt</t>
        </is>
      </c>
    </row>
    <row r="40">
      <c r="A40" s="4" t="inlineStr">
        <is>
          <t>Forensic</t>
        </is>
      </c>
      <c r="B40" s="5" t="n"/>
      <c r="C40" s="5" t="n"/>
      <c r="D40" s="5" t="n"/>
      <c r="E40" s="5" t="n"/>
      <c r="F40" s="5" t="n"/>
      <c r="G40" s="5" t="n"/>
      <c r="H40" s="5" t="n"/>
    </row>
    <row r="41">
      <c r="B41" s="7" t="inlineStr">
        <is>
          <t>Implied Cost of Debt</t>
        </is>
      </c>
      <c r="C41" s="17">
        <f>IF(ABS('Balance Sheet'!C66)=0,"n.a.",IFERROR('Balance Sheet'!C66/'Balance Sheet'!C94,"n.a."))</f>
        <v/>
      </c>
      <c r="D41" s="17">
        <f>IF(ABS('Balance Sheet'!D66)=0,"n.a.",IFERROR('Balance Sheet'!D66/'Balance Sheet'!D94,"n.a."))</f>
        <v/>
      </c>
      <c r="E41" s="2" t="inlineStr">
        <is>
          <t>Within band</t>
        </is>
      </c>
      <c r="F41" s="18" t="n">
        <v>0.06</v>
      </c>
      <c r="G41" s="18" t="n">
        <v>0.15</v>
      </c>
      <c r="H41" s="2" t="inlineStr">
        <is>
          <t>Too low = hidden debt / capitalised interest  | finance_cost/total_debt</t>
        </is>
      </c>
    </row>
    <row r="42">
      <c r="B42" s="7" t="inlineStr">
        <is>
          <t>Yield on Liquid Funds</t>
        </is>
      </c>
      <c r="C42" s="17">
        <f>IF(ABS('Balance Sheet'!C60)=0,"n.a.",IFERROR('Balance Sheet'!C60/'Balance Sheet'!C95,"n.a."))</f>
        <v/>
      </c>
      <c r="D42" s="17">
        <f>IF(ABS('Balance Sheet'!D60)=0,"n.a.",IFERROR('Balance Sheet'!D60/'Balance Sheet'!D95,"n.a."))</f>
        <v/>
      </c>
      <c r="E42" s="2" t="inlineStr">
        <is>
          <t>Higher</t>
        </is>
      </c>
      <c r="F42" s="18" t="n">
        <v>0.04</v>
      </c>
      <c r="G42" s="18" t="n">
        <v>0.02</v>
      </c>
      <c r="H42" s="2" t="inlineStr">
        <is>
          <t>Low yield on large cash = cash may not exist / is encumbered  | interest_income/liquid_funds</t>
        </is>
      </c>
    </row>
    <row r="43">
      <c r="B43" s="7" t="inlineStr">
        <is>
          <t>Loans &amp; Advances / Net Worth</t>
        </is>
      </c>
      <c r="C43" s="17">
        <f>IFERROR('Balance Sheet'!C103/'Balance Sheet'!C9,"n.a.")</f>
        <v/>
      </c>
      <c r="D43" s="17">
        <f>IFERROR('Balance Sheet'!D103/'Balance Sheet'!D9,"n.a.")</f>
        <v/>
      </c>
      <c r="E43" s="2" t="inlineStr">
        <is>
          <t>Lower</t>
        </is>
      </c>
      <c r="F43" s="18" t="n">
        <v>0.1</v>
      </c>
      <c r="G43" s="18" t="n">
        <v>0.25</v>
      </c>
      <c r="H43" s="2" t="inlineStr">
        <is>
          <t>High = possible fund diversion to group  | loans_advances/total_equity</t>
        </is>
      </c>
    </row>
    <row r="44">
      <c r="B44" s="7" t="inlineStr">
        <is>
          <t>Non-current Investments / Net Worth</t>
        </is>
      </c>
      <c r="C44" s="17">
        <f>IFERROR('Balance Sheet'!C37/'Balance Sheet'!C9,"n.a.")</f>
        <v/>
      </c>
      <c r="D44" s="17">
        <f>IFERROR('Balance Sheet'!D37/'Balance Sheet'!D9,"n.a.")</f>
        <v/>
      </c>
      <c r="E44" s="2" t="inlineStr">
        <is>
          <t>Lower</t>
        </is>
      </c>
      <c r="F44" s="18" t="n">
        <v>0.25</v>
      </c>
      <c r="G44" s="18" t="n">
        <v>0.5</v>
      </c>
      <c r="H44" s="2" t="inlineStr">
        <is>
          <t>Upstreaming to group entities  | nc_investments/total_equity</t>
        </is>
      </c>
    </row>
    <row r="45">
      <c r="B45" s="7" t="inlineStr">
        <is>
          <t>Contingent Liabilities / Net Worth</t>
        </is>
      </c>
      <c r="C45" s="17">
        <f>IFERROR(MAX('Balance Sheet'!C83,'Balance Sheet'!C84)/'Balance Sheet'!C9,"n.a.")</f>
        <v/>
      </c>
      <c r="D45" s="17">
        <f>IFERROR(MAX('Balance Sheet'!D83,'Balance Sheet'!D84)/'Balance Sheet'!D9,"n.a.")</f>
        <v/>
      </c>
      <c r="E45" s="2" t="inlineStr">
        <is>
          <t>Lower</t>
        </is>
      </c>
      <c r="F45" s="18" t="n">
        <v>0.25</v>
      </c>
      <c r="G45" s="18" t="n">
        <v>0.5</v>
      </c>
      <c r="H45" s="2" t="inlineStr">
        <is>
          <t>MAX(contingent_liabilities,guarantees_given)/total_equity</t>
        </is>
      </c>
    </row>
    <row r="46">
      <c r="B46" s="7" t="inlineStr">
        <is>
          <t>CWIP / Net Block</t>
        </is>
      </c>
      <c r="C46" s="17">
        <f>IFERROR('Balance Sheet'!C32/'Balance Sheet'!C31,"n.a.")</f>
        <v/>
      </c>
      <c r="D46" s="17">
        <f>IFERROR('Balance Sheet'!D32/'Balance Sheet'!D31,"n.a.")</f>
        <v/>
      </c>
      <c r="E46" s="2" t="inlineStr">
        <is>
          <t>Lower</t>
        </is>
      </c>
      <c r="F46" s="18" t="n">
        <v>0.2</v>
      </c>
      <c r="G46" s="18" t="n">
        <v>0.5</v>
      </c>
      <c r="H46" s="2" t="inlineStr">
        <is>
          <t>Stuck CWIP = capex diversion risk  | cwip/ppe</t>
        </is>
      </c>
    </row>
    <row r="47">
      <c r="B47" s="7" t="inlineStr">
        <is>
          <t>Related-party Sales+Purchases / Revenue</t>
        </is>
      </c>
      <c r="C47" s="17">
        <f>IF(ABS('Balance Sheet'!C85)+ABS('Balance Sheet'!C86)=0,"n.a.",IFERROR(('Balance Sheet'!C85+'Balance Sheet'!C86)/'Balance Sheet'!C58,"n.a."))</f>
        <v/>
      </c>
      <c r="D47" s="17">
        <f>IF(ABS('Balance Sheet'!D85)+ABS('Balance Sheet'!D86)=0,"n.a.",IFERROR(('Balance Sheet'!D85+'Balance Sheet'!D86)/'Balance Sheet'!D58,"n.a."))</f>
        <v/>
      </c>
      <c r="E47" s="2" t="inlineStr">
        <is>
          <t>Lower</t>
        </is>
      </c>
      <c r="F47" s="18" t="n">
        <v>0.1</v>
      </c>
      <c r="G47" s="18" t="n">
        <v>0.25</v>
      </c>
      <c r="H47" s="2" t="inlineStr">
        <is>
          <t>(rpt_sales+rpt_purchases)/revenue</t>
        </is>
      </c>
    </row>
    <row r="48">
      <c r="A48" s="4" t="inlineStr">
        <is>
          <t>Growth</t>
        </is>
      </c>
      <c r="B48" s="5" t="n"/>
      <c r="C48" s="5" t="n"/>
      <c r="D48" s="5" t="n"/>
      <c r="E48" s="5" t="n"/>
      <c r="F48" s="5" t="n"/>
      <c r="G48" s="5" t="n"/>
      <c r="H48" s="5" t="n"/>
    </row>
    <row r="49">
      <c r="B49" s="7" t="inlineStr">
        <is>
          <t>Revenue Growth</t>
        </is>
      </c>
      <c r="C49" s="17">
        <f>"n.a."</f>
        <v/>
      </c>
      <c r="D49" s="17">
        <f>IFERROR('Balance Sheet'!D58/'Balance Sheet'!C58-1,"n.a.")</f>
        <v/>
      </c>
      <c r="E49" s="2" t="inlineStr">
        <is>
          <t>Higher</t>
        </is>
      </c>
      <c r="F49" s="18" t="n">
        <v>0.1</v>
      </c>
      <c r="G49" s="18" t="n">
        <v>0</v>
      </c>
      <c r="H49" s="2" t="inlineStr">
        <is>
          <t>revenue/revenue(prev yr)-1</t>
        </is>
      </c>
    </row>
    <row r="50">
      <c r="B50" s="7" t="inlineStr">
        <is>
          <t>EBITDA Growth</t>
        </is>
      </c>
      <c r="C50" s="17">
        <f>"n.a."</f>
        <v/>
      </c>
      <c r="D50" s="17">
        <f>IFERROR('Balance Sheet'!D98/'Balance Sheet'!C98-1,"n.a.")</f>
        <v/>
      </c>
      <c r="E50" s="2" t="inlineStr">
        <is>
          <t>Higher</t>
        </is>
      </c>
      <c r="F50" s="18" t="n">
        <v>0.1</v>
      </c>
      <c r="G50" s="18" t="n">
        <v>0</v>
      </c>
      <c r="H50" s="2" t="inlineStr">
        <is>
          <t>ebitda/ebitda(prev yr)-1</t>
        </is>
      </c>
    </row>
    <row r="51">
      <c r="B51" s="7" t="inlineStr">
        <is>
          <t>PAT Growth</t>
        </is>
      </c>
      <c r="C51" s="17">
        <f>"n.a."</f>
        <v/>
      </c>
      <c r="D51" s="17">
        <f>IFERROR('Balance Sheet'!D73/'Balance Sheet'!C73-1,"n.a.")</f>
        <v/>
      </c>
      <c r="E51" s="2" t="inlineStr">
        <is>
          <t>Higher</t>
        </is>
      </c>
      <c r="F51" s="18" t="n">
        <v>0.1</v>
      </c>
      <c r="G51" s="18" t="n">
        <v>0</v>
      </c>
      <c r="H51" s="2" t="inlineStr">
        <is>
          <t>pat/pat(prev yr)-1</t>
        </is>
      </c>
    </row>
    <row r="52">
      <c r="B52" s="7" t="inlineStr">
        <is>
          <t>Debt Growth</t>
        </is>
      </c>
      <c r="C52" s="17">
        <f>"n.a."</f>
        <v/>
      </c>
      <c r="D52" s="17">
        <f>IFERROR('Balance Sheet'!D94/'Balance Sheet'!C94-1,"n.a.")</f>
        <v/>
      </c>
      <c r="E52" s="2" t="inlineStr">
        <is>
          <t>-</t>
        </is>
      </c>
      <c r="H52" s="2" t="inlineStr">
        <is>
          <t>total_debt/total_debt(prev yr)-1</t>
        </is>
      </c>
    </row>
    <row r="53">
      <c r="A53" s="4" t="inlineStr">
        <is>
          <t>Forensic</t>
        </is>
      </c>
      <c r="B53" s="5" t="n"/>
      <c r="C53" s="5" t="n"/>
      <c r="D53" s="5" t="n"/>
      <c r="E53" s="5" t="n"/>
      <c r="F53" s="5" t="n"/>
      <c r="G53" s="5" t="n"/>
      <c r="H53" s="5" t="n"/>
    </row>
    <row r="54">
      <c r="B54" s="7" t="inlineStr">
        <is>
          <t>Receivable growth minus Revenue growth</t>
        </is>
      </c>
      <c r="C54" s="17">
        <f>"n.a."</f>
        <v/>
      </c>
      <c r="D54" s="17">
        <f>IFERROR(('Balance Sheet'!D46/'Balance Sheet'!C46-1)-('Balance Sheet'!D58/'Balance Sheet'!C58-1),"n.a.")</f>
        <v/>
      </c>
      <c r="E54" s="2" t="inlineStr">
        <is>
          <t>Lower</t>
        </is>
      </c>
      <c r="F54" s="18" t="n">
        <v>0.1</v>
      </c>
      <c r="G54" s="18" t="n">
        <v>0.25</v>
      </c>
      <c r="H54" s="2" t="inlineStr">
        <is>
          <t>Receivables outrunning sales = possible fictitious sales  | (trade_receivables/trade_receivables(prev yr)-1)-(revenue/revenue(prev yr)-1)</t>
        </is>
      </c>
    </row>
    <row r="55">
      <c r="A55" s="4" t="inlineStr">
        <is>
          <t>Distress Scores</t>
        </is>
      </c>
      <c r="B55" s="5" t="n"/>
      <c r="C55" s="5" t="n"/>
      <c r="D55" s="5" t="n"/>
      <c r="E55" s="5" t="n"/>
      <c r="F55" s="5" t="n"/>
      <c r="G55" s="5" t="n"/>
      <c r="H55" s="5" t="n"/>
    </row>
    <row r="56">
      <c r="B56" s="7" t="inlineStr">
        <is>
          <t>Altman Z'' (emerging-market)</t>
        </is>
      </c>
      <c r="C56" s="13">
        <f>IFERROR(6.56*'Balance Sheet'!C102/'Balance Sheet'!C55+3.26*'Balance Sheet'!C8/'Balance Sheet'!C55+6.72*'Balance Sheet'!C99/'Balance Sheet'!C55+1.05*'Balance Sheet'!C9/'Balance Sheet'!C100,"n.a.")</f>
        <v/>
      </c>
      <c r="D56" s="13">
        <f>IFERROR(6.56*'Balance Sheet'!D102/'Balance Sheet'!D55+3.26*'Balance Sheet'!D8/'Balance Sheet'!D55+6.72*'Balance Sheet'!D99/'Balance Sheet'!D55+1.05*'Balance Sheet'!D9/'Balance Sheet'!D100,"n.a.")</f>
        <v/>
      </c>
      <c r="E56" s="2" t="inlineStr">
        <is>
          <t>Higher</t>
        </is>
      </c>
      <c r="F56" s="14" t="n">
        <v>2.6</v>
      </c>
      <c r="G56" s="14" t="n">
        <v>1.1</v>
      </c>
      <c r="H56" s="2" t="inlineStr">
        <is>
          <t>&gt;2.6 safe, &lt;1.1 distress  | 6.56*nwc/total_assets+3.26*other_equity/total_assets+6.72*ebit/total_assets+1.05*total_equity/tol</t>
        </is>
      </c>
    </row>
    <row r="58">
      <c r="A58" s="4" t="inlineStr">
        <is>
          <t>Forensic &amp; distress scores</t>
        </is>
      </c>
      <c r="B58" s="5" t="n"/>
      <c r="C58" s="5" t="n"/>
      <c r="D58" s="5" t="n"/>
      <c r="E58" s="5" t="n"/>
      <c r="F58" s="5" t="n"/>
      <c r="G58" s="5" t="n"/>
      <c r="H58" s="5" t="n"/>
    </row>
    <row r="59">
      <c r="B59" s="9" t="inlineStr">
        <is>
          <t>Beneish M-score (8-variable)</t>
        </is>
      </c>
      <c r="D59" s="21" t="n">
        <v>-1.76</v>
      </c>
      <c r="H59" s="2" t="inlineStr">
        <is>
          <t>&gt; -1.78 = likely manipulator (computed by app, latest vs previous year)</t>
        </is>
      </c>
    </row>
    <row r="60">
      <c r="B60" s="9" t="inlineStr">
        <is>
          <t>Piotroski F-score (0-9)</t>
        </is>
      </c>
      <c r="D60" s="21" t="n">
        <v>4</v>
      </c>
      <c r="H60" s="2" t="inlineStr">
        <is>
          <t>&gt;= 7 strong, &lt;= 3 weak (computed by app)</t>
        </is>
      </c>
    </row>
    <row r="61">
      <c r="B61" s="9" t="inlineStr">
        <is>
          <t>Internal credit score (0-100)</t>
        </is>
      </c>
      <c r="D61" s="21" t="n">
        <v>44.2</v>
      </c>
      <c r="H61" s="2" t="inlineStr">
        <is>
          <t>CI-5 - Elevated risk</t>
        </is>
      </c>
    </row>
    <row r="62">
      <c r="B62" s="9" t="inlineStr">
        <is>
          <t>Red flags raised (High / Medium / Low)</t>
        </is>
      </c>
      <c r="D62" s="21" t="inlineStr">
        <is>
          <t>5 / 7 / 0</t>
        </is>
      </c>
      <c r="H62" s="2" t="inlineStr">
        <is>
          <t>See Word report for detail</t>
        </is>
      </c>
    </row>
  </sheetData>
  <conditionalFormatting sqref="C6:D6">
    <cfRule type="expression" priority="1" dxfId="0" stopIfTrue="1">
      <formula>AND(ISNUMBER(C6),C6&gt;=$F$6)</formula>
    </cfRule>
    <cfRule type="expression" priority="2" dxfId="1" stopIfTrue="1">
      <formula>AND(ISNUMBER(C6),C6&lt;$G$6)</formula>
    </cfRule>
    <cfRule type="expression" priority="3" dxfId="2" stopIfTrue="1">
      <formula>ISNUMBER(C6)</formula>
    </cfRule>
  </conditionalFormatting>
  <conditionalFormatting sqref="C7:D7">
    <cfRule type="expression" priority="4" dxfId="0" stopIfTrue="1">
      <formula>AND(ISNUMBER(C7),C7&gt;=$F$7)</formula>
    </cfRule>
    <cfRule type="expression" priority="5" dxfId="1" stopIfTrue="1">
      <formula>AND(ISNUMBER(C7),C7&lt;$G$7)</formula>
    </cfRule>
    <cfRule type="expression" priority="6" dxfId="2" stopIfTrue="1">
      <formula>ISNUMBER(C7)</formula>
    </cfRule>
  </conditionalFormatting>
  <conditionalFormatting sqref="C8:D8">
    <cfRule type="expression" priority="7" dxfId="0" stopIfTrue="1">
      <formula>AND(ISNUMBER(C8),C8&gt;=$F$8)</formula>
    </cfRule>
    <cfRule type="expression" priority="8" dxfId="1" stopIfTrue="1">
      <formula>AND(ISNUMBER(C8),C8&lt;$G$8)</formula>
    </cfRule>
    <cfRule type="expression" priority="9" dxfId="2" stopIfTrue="1">
      <formula>ISNUMBER(C8)</formula>
    </cfRule>
  </conditionalFormatting>
  <conditionalFormatting sqref="C9:D9">
    <cfRule type="expression" priority="10" dxfId="0" stopIfTrue="1">
      <formula>AND(ISNUMBER(C9),C9&gt;=$F$9)</formula>
    </cfRule>
    <cfRule type="expression" priority="11" dxfId="1" stopIfTrue="1">
      <formula>AND(ISNUMBER(C9),C9&lt;$G$9)</formula>
    </cfRule>
    <cfRule type="expression" priority="12" dxfId="2" stopIfTrue="1">
      <formula>ISNUMBER(C9)</formula>
    </cfRule>
  </conditionalFormatting>
  <conditionalFormatting sqref="C12:D12">
    <cfRule type="expression" priority="13" dxfId="0" stopIfTrue="1">
      <formula>AND(ISNUMBER(C12),C12&lt;=$F$12)</formula>
    </cfRule>
    <cfRule type="expression" priority="14" dxfId="1" stopIfTrue="1">
      <formula>AND(ISNUMBER(C12),C12&gt;$G$12)</formula>
    </cfRule>
    <cfRule type="expression" priority="15" dxfId="2" stopIfTrue="1">
      <formula>ISNUMBER(C12)</formula>
    </cfRule>
  </conditionalFormatting>
  <conditionalFormatting sqref="C13:D13">
    <cfRule type="expression" priority="16" dxfId="0" stopIfTrue="1">
      <formula>AND(ISNUMBER(C13),C13&lt;=$F$13)</formula>
    </cfRule>
    <cfRule type="expression" priority="17" dxfId="1" stopIfTrue="1">
      <formula>AND(ISNUMBER(C13),C13&gt;$G$13)</formula>
    </cfRule>
    <cfRule type="expression" priority="18" dxfId="2" stopIfTrue="1">
      <formula>ISNUMBER(C13)</formula>
    </cfRule>
  </conditionalFormatting>
  <conditionalFormatting sqref="C14:D14">
    <cfRule type="expression" priority="19" dxfId="0" stopIfTrue="1">
      <formula>AND(ISNUMBER(C14),C14&lt;=$F$14)</formula>
    </cfRule>
    <cfRule type="expression" priority="20" dxfId="1" stopIfTrue="1">
      <formula>AND(ISNUMBER(C14),C14&gt;$G$14)</formula>
    </cfRule>
    <cfRule type="expression" priority="21" dxfId="2" stopIfTrue="1">
      <formula>ISNUMBER(C14)</formula>
    </cfRule>
  </conditionalFormatting>
  <conditionalFormatting sqref="C15:D15">
    <cfRule type="expression" priority="22" dxfId="0" stopIfTrue="1">
      <formula>AND(ISNUMBER(C15),C15&lt;=$F$15)</formula>
    </cfRule>
    <cfRule type="expression" priority="23" dxfId="1" stopIfTrue="1">
      <formula>AND(ISNUMBER(C15),C15&gt;$G$15)</formula>
    </cfRule>
    <cfRule type="expression" priority="24" dxfId="2" stopIfTrue="1">
      <formula>ISNUMBER(C15)</formula>
    </cfRule>
  </conditionalFormatting>
  <conditionalFormatting sqref="C17:D17">
    <cfRule type="expression" priority="25" dxfId="0" stopIfTrue="1">
      <formula>AND(ISNUMBER(C17),C17&gt;=$F$17)</formula>
    </cfRule>
    <cfRule type="expression" priority="26" dxfId="1" stopIfTrue="1">
      <formula>AND(ISNUMBER(C17),C17&lt;$G$17)</formula>
    </cfRule>
    <cfRule type="expression" priority="27" dxfId="2" stopIfTrue="1">
      <formula>ISNUMBER(C17)</formula>
    </cfRule>
  </conditionalFormatting>
  <conditionalFormatting sqref="C18:D18">
    <cfRule type="expression" priority="28" dxfId="0" stopIfTrue="1">
      <formula>AND(ISNUMBER(C18),C18&gt;=$F$18)</formula>
    </cfRule>
    <cfRule type="expression" priority="29" dxfId="1" stopIfTrue="1">
      <formula>AND(ISNUMBER(C18),C18&lt;$G$18)</formula>
    </cfRule>
    <cfRule type="expression" priority="30" dxfId="2" stopIfTrue="1">
      <formula>ISNUMBER(C18)</formula>
    </cfRule>
  </conditionalFormatting>
  <conditionalFormatting sqref="C19:D19">
    <cfRule type="expression" priority="31" dxfId="0" stopIfTrue="1">
      <formula>AND(ISNUMBER(C19),C19&gt;=$F$19)</formula>
    </cfRule>
    <cfRule type="expression" priority="32" dxfId="1" stopIfTrue="1">
      <formula>AND(ISNUMBER(C19),C19&lt;$G$19)</formula>
    </cfRule>
    <cfRule type="expression" priority="33" dxfId="2" stopIfTrue="1">
      <formula>ISNUMBER(C19)</formula>
    </cfRule>
  </conditionalFormatting>
  <conditionalFormatting sqref="C21:D21">
    <cfRule type="expression" priority="34" dxfId="0" stopIfTrue="1">
      <formula>AND(ISNUMBER(C21),C21&gt;=$F$21)</formula>
    </cfRule>
    <cfRule type="expression" priority="35" dxfId="1" stopIfTrue="1">
      <formula>AND(ISNUMBER(C21),C21&lt;$G$21)</formula>
    </cfRule>
    <cfRule type="expression" priority="36" dxfId="2" stopIfTrue="1">
      <formula>ISNUMBER(C21)</formula>
    </cfRule>
  </conditionalFormatting>
  <conditionalFormatting sqref="C22:D22">
    <cfRule type="expression" priority="37" dxfId="0" stopIfTrue="1">
      <formula>AND(ISNUMBER(C22),C22&gt;=$F$22)</formula>
    </cfRule>
    <cfRule type="expression" priority="38" dxfId="1" stopIfTrue="1">
      <formula>AND(ISNUMBER(C22),C22&lt;$G$22)</formula>
    </cfRule>
    <cfRule type="expression" priority="39" dxfId="2" stopIfTrue="1">
      <formula>ISNUMBER(C22)</formula>
    </cfRule>
  </conditionalFormatting>
  <conditionalFormatting sqref="C23:D23">
    <cfRule type="expression" priority="40" dxfId="0" stopIfTrue="1">
      <formula>AND(ISNUMBER(C23),C23&gt;=$F$23)</formula>
    </cfRule>
    <cfRule type="expression" priority="41" dxfId="1" stopIfTrue="1">
      <formula>AND(ISNUMBER(C23),C23&lt;$G$23)</formula>
    </cfRule>
    <cfRule type="expression" priority="42" dxfId="2" stopIfTrue="1">
      <formula>ISNUMBER(C23)</formula>
    </cfRule>
  </conditionalFormatting>
  <conditionalFormatting sqref="C24:D24">
    <cfRule type="expression" priority="43" dxfId="0" stopIfTrue="1">
      <formula>AND(ISNUMBER(C24),C24&gt;=$F$24)</formula>
    </cfRule>
    <cfRule type="expression" priority="44" dxfId="1" stopIfTrue="1">
      <formula>AND(ISNUMBER(C24),C24&lt;$G$24)</formula>
    </cfRule>
    <cfRule type="expression" priority="45" dxfId="2" stopIfTrue="1">
      <formula>ISNUMBER(C24)</formula>
    </cfRule>
  </conditionalFormatting>
  <conditionalFormatting sqref="C25:D25">
    <cfRule type="expression" priority="46" dxfId="0" stopIfTrue="1">
      <formula>AND(ISNUMBER(C25),C25&gt;=$F$25)</formula>
    </cfRule>
    <cfRule type="expression" priority="47" dxfId="1" stopIfTrue="1">
      <formula>AND(ISNUMBER(C25),C25&lt;$G$25)</formula>
    </cfRule>
    <cfRule type="expression" priority="48" dxfId="2" stopIfTrue="1">
      <formula>ISNUMBER(C25)</formula>
    </cfRule>
  </conditionalFormatting>
  <conditionalFormatting sqref="C27:D27">
    <cfRule type="expression" priority="49" dxfId="0" stopIfTrue="1">
      <formula>AND(ISNUMBER(C27),C27&gt;=$F$27)</formula>
    </cfRule>
    <cfRule type="expression" priority="50" dxfId="1" stopIfTrue="1">
      <formula>AND(ISNUMBER(C27),C27&lt;$G$27)</formula>
    </cfRule>
    <cfRule type="expression" priority="51" dxfId="2" stopIfTrue="1">
      <formula>ISNUMBER(C27)</formula>
    </cfRule>
  </conditionalFormatting>
  <conditionalFormatting sqref="C28:D28">
    <cfRule type="expression" priority="52" dxfId="0" stopIfTrue="1">
      <formula>AND(ISNUMBER(C28),C28&gt;=$F$28)</formula>
    </cfRule>
    <cfRule type="expression" priority="53" dxfId="1" stopIfTrue="1">
      <formula>AND(ISNUMBER(C28),C28&lt;$G$28)</formula>
    </cfRule>
    <cfRule type="expression" priority="54" dxfId="2" stopIfTrue="1">
      <formula>ISNUMBER(C28)</formula>
    </cfRule>
  </conditionalFormatting>
  <conditionalFormatting sqref="C29:D29">
    <cfRule type="expression" priority="55" dxfId="0" stopIfTrue="1">
      <formula>AND(ISNUMBER(C29),C29&lt;=$F$29)</formula>
    </cfRule>
    <cfRule type="expression" priority="56" dxfId="1" stopIfTrue="1">
      <formula>AND(ISNUMBER(C29),C29&gt;$G$29)</formula>
    </cfRule>
    <cfRule type="expression" priority="57" dxfId="2" stopIfTrue="1">
      <formula>ISNUMBER(C29)</formula>
    </cfRule>
  </conditionalFormatting>
  <conditionalFormatting sqref="C30:D30">
    <cfRule type="expression" priority="58" dxfId="0" stopIfTrue="1">
      <formula>AND(ISNUMBER(C30),C30&lt;=$F$30)</formula>
    </cfRule>
    <cfRule type="expression" priority="59" dxfId="1" stopIfTrue="1">
      <formula>AND(ISNUMBER(C30),C30&gt;$G$30)</formula>
    </cfRule>
    <cfRule type="expression" priority="60" dxfId="2" stopIfTrue="1">
      <formula>ISNUMBER(C30)</formula>
    </cfRule>
  </conditionalFormatting>
  <conditionalFormatting sqref="C32:D32">
    <cfRule type="expression" priority="61" dxfId="0" stopIfTrue="1">
      <formula>AND(ISNUMBER(C32),C32&lt;=$F$32)</formula>
    </cfRule>
    <cfRule type="expression" priority="62" dxfId="1" stopIfTrue="1">
      <formula>AND(ISNUMBER(C32),C32&gt;$G$32)</formula>
    </cfRule>
    <cfRule type="expression" priority="63" dxfId="2" stopIfTrue="1">
      <formula>ISNUMBER(C32)</formula>
    </cfRule>
  </conditionalFormatting>
  <conditionalFormatting sqref="C34:D34">
    <cfRule type="expression" priority="64" dxfId="0" stopIfTrue="1">
      <formula>AND(ISNUMBER(C34),C34&gt;=$F$34)</formula>
    </cfRule>
    <cfRule type="expression" priority="65" dxfId="1" stopIfTrue="1">
      <formula>AND(ISNUMBER(C34),C34&lt;$G$34)</formula>
    </cfRule>
    <cfRule type="expression" priority="66" dxfId="2" stopIfTrue="1">
      <formula>ISNUMBER(C34)</formula>
    </cfRule>
  </conditionalFormatting>
  <conditionalFormatting sqref="C35:D35">
    <cfRule type="expression" priority="67" dxfId="0" stopIfTrue="1">
      <formula>AND(ISNUMBER(C35),C35&gt;=$F$35)</formula>
    </cfRule>
    <cfRule type="expression" priority="68" dxfId="1" stopIfTrue="1">
      <formula>AND(ISNUMBER(C35),C35&lt;$G$35)</formula>
    </cfRule>
    <cfRule type="expression" priority="69" dxfId="2" stopIfTrue="1">
      <formula>ISNUMBER(C35)</formula>
    </cfRule>
  </conditionalFormatting>
  <conditionalFormatting sqref="C36:D36">
    <cfRule type="expression" priority="70" dxfId="0" stopIfTrue="1">
      <formula>AND(ISNUMBER(C36),C36&gt;=$F$36)</formula>
    </cfRule>
    <cfRule type="expression" priority="71" dxfId="1" stopIfTrue="1">
      <formula>AND(ISNUMBER(C36),C36&lt;$G$36)</formula>
    </cfRule>
    <cfRule type="expression" priority="72" dxfId="2" stopIfTrue="1">
      <formula>ISNUMBER(C36)</formula>
    </cfRule>
  </conditionalFormatting>
  <conditionalFormatting sqref="C38:D38">
    <cfRule type="expression" priority="73" dxfId="0" stopIfTrue="1">
      <formula>AND(ISNUMBER(C38),C38&lt;=$F$38)</formula>
    </cfRule>
    <cfRule type="expression" priority="74" dxfId="1" stopIfTrue="1">
      <formula>AND(ISNUMBER(C38),C38&gt;$G$38)</formula>
    </cfRule>
    <cfRule type="expression" priority="75" dxfId="2" stopIfTrue="1">
      <formula>ISNUMBER(C38)</formula>
    </cfRule>
  </conditionalFormatting>
  <conditionalFormatting sqref="C42:D42">
    <cfRule type="expression" priority="76" dxfId="0" stopIfTrue="1">
      <formula>AND(ISNUMBER(C42),C42&gt;=$F$42)</formula>
    </cfRule>
    <cfRule type="expression" priority="77" dxfId="1" stopIfTrue="1">
      <formula>AND(ISNUMBER(C42),C42&lt;$G$42)</formula>
    </cfRule>
    <cfRule type="expression" priority="78" dxfId="2" stopIfTrue="1">
      <formula>ISNUMBER(C42)</formula>
    </cfRule>
  </conditionalFormatting>
  <conditionalFormatting sqref="C43:D43">
    <cfRule type="expression" priority="79" dxfId="0" stopIfTrue="1">
      <formula>AND(ISNUMBER(C43),C43&lt;=$F$43)</formula>
    </cfRule>
    <cfRule type="expression" priority="80" dxfId="1" stopIfTrue="1">
      <formula>AND(ISNUMBER(C43),C43&gt;$G$43)</formula>
    </cfRule>
    <cfRule type="expression" priority="81" dxfId="2" stopIfTrue="1">
      <formula>ISNUMBER(C43)</formula>
    </cfRule>
  </conditionalFormatting>
  <conditionalFormatting sqref="C44:D44">
    <cfRule type="expression" priority="82" dxfId="0" stopIfTrue="1">
      <formula>AND(ISNUMBER(C44),C44&lt;=$F$44)</formula>
    </cfRule>
    <cfRule type="expression" priority="83" dxfId="1" stopIfTrue="1">
      <formula>AND(ISNUMBER(C44),C44&gt;$G$44)</formula>
    </cfRule>
    <cfRule type="expression" priority="84" dxfId="2" stopIfTrue="1">
      <formula>ISNUMBER(C44)</formula>
    </cfRule>
  </conditionalFormatting>
  <conditionalFormatting sqref="C45:D45">
    <cfRule type="expression" priority="85" dxfId="0" stopIfTrue="1">
      <formula>AND(ISNUMBER(C45),C45&lt;=$F$45)</formula>
    </cfRule>
    <cfRule type="expression" priority="86" dxfId="1" stopIfTrue="1">
      <formula>AND(ISNUMBER(C45),C45&gt;$G$45)</formula>
    </cfRule>
    <cfRule type="expression" priority="87" dxfId="2" stopIfTrue="1">
      <formula>ISNUMBER(C45)</formula>
    </cfRule>
  </conditionalFormatting>
  <conditionalFormatting sqref="C46:D46">
    <cfRule type="expression" priority="88" dxfId="0" stopIfTrue="1">
      <formula>AND(ISNUMBER(C46),C46&lt;=$F$46)</formula>
    </cfRule>
    <cfRule type="expression" priority="89" dxfId="1" stopIfTrue="1">
      <formula>AND(ISNUMBER(C46),C46&gt;$G$46)</formula>
    </cfRule>
    <cfRule type="expression" priority="90" dxfId="2" stopIfTrue="1">
      <formula>ISNUMBER(C46)</formula>
    </cfRule>
  </conditionalFormatting>
  <conditionalFormatting sqref="C47:D47">
    <cfRule type="expression" priority="91" dxfId="0" stopIfTrue="1">
      <formula>AND(ISNUMBER(C47),C47&lt;=$F$47)</formula>
    </cfRule>
    <cfRule type="expression" priority="92" dxfId="1" stopIfTrue="1">
      <formula>AND(ISNUMBER(C47),C47&gt;$G$47)</formula>
    </cfRule>
    <cfRule type="expression" priority="93" dxfId="2" stopIfTrue="1">
      <formula>ISNUMBER(C47)</formula>
    </cfRule>
  </conditionalFormatting>
  <conditionalFormatting sqref="C49:D49">
    <cfRule type="expression" priority="94" dxfId="0" stopIfTrue="1">
      <formula>AND(ISNUMBER(C49),C49&gt;=$F$49)</formula>
    </cfRule>
    <cfRule type="expression" priority="95" dxfId="1" stopIfTrue="1">
      <formula>AND(ISNUMBER(C49),C49&lt;$G$49)</formula>
    </cfRule>
    <cfRule type="expression" priority="96" dxfId="2" stopIfTrue="1">
      <formula>ISNUMBER(C49)</formula>
    </cfRule>
  </conditionalFormatting>
  <conditionalFormatting sqref="C50:D50">
    <cfRule type="expression" priority="97" dxfId="0" stopIfTrue="1">
      <formula>AND(ISNUMBER(C50),C50&gt;=$F$50)</formula>
    </cfRule>
    <cfRule type="expression" priority="98" dxfId="1" stopIfTrue="1">
      <formula>AND(ISNUMBER(C50),C50&lt;$G$50)</formula>
    </cfRule>
    <cfRule type="expression" priority="99" dxfId="2" stopIfTrue="1">
      <formula>ISNUMBER(C50)</formula>
    </cfRule>
  </conditionalFormatting>
  <conditionalFormatting sqref="C51:D51">
    <cfRule type="expression" priority="100" dxfId="0" stopIfTrue="1">
      <formula>AND(ISNUMBER(C51),C51&gt;=$F$51)</formula>
    </cfRule>
    <cfRule type="expression" priority="101" dxfId="1" stopIfTrue="1">
      <formula>AND(ISNUMBER(C51),C51&lt;$G$51)</formula>
    </cfRule>
    <cfRule type="expression" priority="102" dxfId="2" stopIfTrue="1">
      <formula>ISNUMBER(C51)</formula>
    </cfRule>
  </conditionalFormatting>
  <conditionalFormatting sqref="C54:D54">
    <cfRule type="expression" priority="103" dxfId="0" stopIfTrue="1">
      <formula>AND(ISNUMBER(C54),C54&lt;=$F$54)</formula>
    </cfRule>
    <cfRule type="expression" priority="104" dxfId="1" stopIfTrue="1">
      <formula>AND(ISNUMBER(C54),C54&gt;$G$54)</formula>
    </cfRule>
    <cfRule type="expression" priority="105" dxfId="2" stopIfTrue="1">
      <formula>ISNUMBER(C54)</formula>
    </cfRule>
  </conditionalFormatting>
  <conditionalFormatting sqref="C56:D56">
    <cfRule type="expression" priority="106" dxfId="0" stopIfTrue="1">
      <formula>AND(ISNUMBER(C56),C56&gt;=$F$56)</formula>
    </cfRule>
    <cfRule type="expression" priority="107" dxfId="1" stopIfTrue="1">
      <formula>AND(ISNUMBER(C56),C56&lt;$G$56)</formula>
    </cfRule>
    <cfRule type="expression" priority="108" dxfId="2" stopIfTrue="1">
      <formula>ISNUMBER(C56)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6" customWidth="1" min="3" max="3"/>
    <col width="80" customWidth="1" min="4" max="4"/>
  </cols>
  <sheetData>
    <row r="1">
      <c r="A1" s="1" t="inlineStr">
        <is>
          <t>Deccan Polyfab Industries Ltd (fictional sample) - PCAF Financed Emissions (Business loans / Listed equity &amp; bonds)</t>
        </is>
      </c>
    </row>
    <row r="2">
      <c r="A2" s="2" t="inlineStr">
        <is>
          <t>Yellow cells are inputs - change them and every result recalculates. Green = linked from the Balance Sheet tab (latest year).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 / note</t>
        </is>
      </c>
    </row>
    <row r="5">
      <c r="A5" s="4" t="inlineStr">
        <is>
          <t>INPUTS</t>
        </is>
      </c>
      <c r="B5" s="5" t="n"/>
      <c r="C5" s="5" t="n"/>
      <c r="D5" s="5" t="n"/>
    </row>
    <row r="6">
      <c r="A6" s="7" t="inlineStr">
        <is>
          <t>Bank's outstanding exposure</t>
        </is>
      </c>
      <c r="B6" s="22" t="n">
        <v>0</v>
      </c>
      <c r="C6" s="2" t="inlineStr">
        <is>
          <t>INR Cr</t>
        </is>
      </c>
      <c r="D6" s="2" t="inlineStr">
        <is>
          <t>Funded outstanding as on reporting date (user input)</t>
        </is>
      </c>
    </row>
    <row r="7">
      <c r="A7" s="7" t="inlineStr">
        <is>
          <t>Asset class</t>
        </is>
      </c>
      <c r="B7" s="23" t="inlineStr">
        <is>
          <t>Business loans / unlisted equity</t>
        </is>
      </c>
      <c r="C7" s="2" t="inlineStr"/>
      <c r="D7" s="2" t="inlineStr">
        <is>
          <t>'Listed equity &amp; corporate bonds' uses EVIC; else equity + debt</t>
        </is>
      </c>
    </row>
    <row r="8">
      <c r="A8" s="7" t="inlineStr">
        <is>
          <t>Market capitalisation (listed only)</t>
        </is>
      </c>
      <c r="B8" s="22" t="n">
        <v>0</v>
      </c>
      <c r="C8" s="2" t="inlineStr">
        <is>
          <t>INR Cr</t>
        </is>
      </c>
      <c r="D8" s="2" t="inlineStr">
        <is>
          <t>Year-end market cap (user input / exchange data)</t>
        </is>
      </c>
    </row>
    <row r="9">
      <c r="A9" s="7" t="inlineStr">
        <is>
          <t>Total equity (book)</t>
        </is>
      </c>
      <c r="B9" s="24">
        <f>'Balance Sheet'!D9</f>
        <v/>
      </c>
      <c r="C9" s="2" t="inlineStr">
        <is>
          <t>INR Cr</t>
        </is>
      </c>
      <c r="D9" s="2" t="inlineStr">
        <is>
          <t>Linked: Balance Sheet latest year</t>
        </is>
      </c>
    </row>
    <row r="10">
      <c r="A10" s="7" t="inlineStr">
        <is>
          <t>Total debt (book)</t>
        </is>
      </c>
      <c r="B10" s="24">
        <f>'Balance Sheet'!D94</f>
        <v/>
      </c>
      <c r="C10" s="2" t="inlineStr">
        <is>
          <t>INR Cr</t>
        </is>
      </c>
      <c r="D10" s="2" t="inlineStr">
        <is>
          <t>Linked: Balance Sheet derived Total Debt</t>
        </is>
      </c>
    </row>
    <row r="11">
      <c r="A11" s="7" t="inlineStr">
        <is>
          <t>Non-controlling interest</t>
        </is>
      </c>
      <c r="B11" s="24">
        <f>'Balance Sheet'!D10</f>
        <v/>
      </c>
      <c r="C11" s="2" t="inlineStr">
        <is>
          <t>INR Cr</t>
        </is>
      </c>
      <c r="D11" s="2" t="inlineStr">
        <is>
          <t>Linked: Balance Sheet</t>
        </is>
      </c>
    </row>
    <row r="12">
      <c r="A12" s="7" t="inlineStr">
        <is>
          <t>Revenue</t>
        </is>
      </c>
      <c r="B12" s="24">
        <f>'Balance Sheet'!D58</f>
        <v/>
      </c>
      <c r="C12" s="2" t="inlineStr">
        <is>
          <t>INR Cr</t>
        </is>
      </c>
      <c r="D12" s="2" t="inlineStr">
        <is>
          <t>Linked: Balance Sheet</t>
        </is>
      </c>
    </row>
    <row r="13">
      <c r="A13" s="7" t="inlineStr">
        <is>
          <t>Scope 1 emissions (reported)</t>
        </is>
      </c>
      <c r="B13" s="22" t="n">
        <v>85000</v>
      </c>
      <c r="C13" s="2" t="inlineStr">
        <is>
          <t>tCO2e</t>
        </is>
      </c>
      <c r="D13" s="2" t="inlineStr">
        <is>
          <t>BRSR Principle 6 (enter 0 if not reported)</t>
        </is>
      </c>
    </row>
    <row r="14">
      <c r="A14" s="7" t="inlineStr">
        <is>
          <t>Scope 2 emissions (reported)</t>
        </is>
      </c>
      <c r="B14" s="22" t="n">
        <v>42000</v>
      </c>
      <c r="C14" s="2" t="inlineStr">
        <is>
          <t>tCO2e</t>
        </is>
      </c>
      <c r="D14" s="2" t="inlineStr">
        <is>
          <t>BRSR Principle 6</t>
        </is>
      </c>
    </row>
    <row r="15">
      <c r="A15" s="7" t="inlineStr">
        <is>
          <t>Scope 3 emissions (reported, optional)</t>
        </is>
      </c>
      <c r="B15" s="22" t="n">
        <v>0</v>
      </c>
      <c r="C15" s="2" t="inlineStr">
        <is>
          <t>tCO2e</t>
        </is>
      </c>
      <c r="D15" s="2" t="inlineStr">
        <is>
          <t>BRSR Core / voluntary</t>
        </is>
      </c>
    </row>
    <row r="16">
      <c r="A16" s="7" t="inlineStr">
        <is>
          <t>Emissions third-party assured?</t>
        </is>
      </c>
      <c r="B16" s="23" t="inlineStr">
        <is>
          <t>No</t>
        </is>
      </c>
      <c r="C16" s="2" t="inlineStr">
        <is>
          <t>Yes/No</t>
        </is>
      </c>
      <c r="D16" s="2" t="inlineStr">
        <is>
          <t>Reasonable/limited assurance on GHG -&gt; PCAF score 1, else 2</t>
        </is>
      </c>
    </row>
    <row r="17">
      <c r="A17" s="7" t="inlineStr">
        <is>
          <t>Sector emission factor (fallback)</t>
        </is>
      </c>
      <c r="B17" s="22" t="n">
        <v>0</v>
      </c>
      <c r="C17" s="2" t="inlineStr">
        <is>
          <t>tCO2e / INR Cr revenue</t>
        </is>
      </c>
      <c r="D17" s="2" t="inlineStr">
        <is>
          <t>Used only when no reported emissions. Sector: - (ILLUSTRATIVE default - replace with approved factor)</t>
        </is>
      </c>
    </row>
    <row r="18">
      <c r="A18" s="4" t="inlineStr">
        <is>
          <t>CALCULATION</t>
        </is>
      </c>
      <c r="B18" s="5" t="n"/>
      <c r="C18" s="5" t="n"/>
      <c r="D18" s="5" t="n"/>
    </row>
    <row r="19">
      <c r="A19" s="9" t="inlineStr">
        <is>
          <t>Attribution denominator</t>
        </is>
      </c>
      <c r="B19" s="25">
        <f>IF(AND(LEFT(B7,6)="Listed",B8&gt;0),B8+B10+B11,B9+B10)</f>
        <v/>
      </c>
      <c r="C19" s="2" t="inlineStr">
        <is>
          <t>INR Cr</t>
        </is>
      </c>
      <c r="D19" s="2" t="inlineStr">
        <is>
          <t>EVIC for listed; equity + debt for unlisted / business loans</t>
        </is>
      </c>
    </row>
    <row r="20">
      <c r="A20" s="9" t="inlineStr">
        <is>
          <t>Attribution factor</t>
        </is>
      </c>
      <c r="B20" s="26">
        <f>IFERROR(MIN(1,B6/B19),0)</f>
        <v/>
      </c>
      <c r="C20" s="2" t="inlineStr">
        <is>
          <t>%</t>
        </is>
      </c>
      <c r="D20" s="2" t="inlineStr">
        <is>
          <t>Outstanding / denominator (capped at 100%)</t>
        </is>
      </c>
    </row>
    <row r="21">
      <c r="A21" s="9" t="inlineStr">
        <is>
          <t>Company Scope 1+2 used</t>
        </is>
      </c>
      <c r="B21" s="25">
        <f>IF(B13+B14&gt;0,B13+B14,B17*B12)</f>
        <v/>
      </c>
      <c r="C21" s="2" t="inlineStr">
        <is>
          <t>tCO2e</t>
        </is>
      </c>
      <c r="D21" s="2" t="inlineStr">
        <is>
          <t>Reported if available, else revenue x sector factor</t>
        </is>
      </c>
    </row>
    <row r="22">
      <c r="A22" s="9" t="inlineStr">
        <is>
          <t>Financed emissions - Scope 1+2</t>
        </is>
      </c>
      <c r="B22" s="25">
        <f>B20*B21</f>
        <v/>
      </c>
      <c r="C22" s="2" t="inlineStr">
        <is>
          <t>tCO2e</t>
        </is>
      </c>
      <c r="D22" s="2" t="inlineStr">
        <is>
          <t>Attribution factor x company Scope 1+2</t>
        </is>
      </c>
    </row>
    <row r="23">
      <c r="A23" s="9" t="inlineStr">
        <is>
          <t>Financed emissions - Scope 3</t>
        </is>
      </c>
      <c r="B23" s="25">
        <f>B20*B15</f>
        <v/>
      </c>
      <c r="C23" s="2" t="inlineStr">
        <is>
          <t>tCO2e</t>
        </is>
      </c>
      <c r="D23" s="2" t="inlineStr">
        <is>
          <t>Reported separately per PCAF</t>
        </is>
      </c>
    </row>
    <row r="24">
      <c r="A24" s="9" t="inlineStr">
        <is>
          <t>PCAF data quality score</t>
        </is>
      </c>
      <c r="B24" s="27">
        <f>IF(B13+B14&gt;0,IF(B16="Yes",1,2),IF(B17&gt;0,4,"n.a."))</f>
        <v/>
      </c>
      <c r="C24" s="2" t="inlineStr">
        <is>
          <t>1 (best) - 5</t>
        </is>
      </c>
      <c r="D24" s="2" t="inlineStr">
        <is>
          <t>1 verified, 2 unverified, 3 physical activity, 4 revenue-based, 5 asset-based</t>
        </is>
      </c>
    </row>
    <row r="25">
      <c r="A25" s="9" t="inlineStr">
        <is>
          <t>Financed emission intensity</t>
        </is>
      </c>
      <c r="B25" s="25">
        <f>IFERROR(B22/B6,0)</f>
        <v/>
      </c>
      <c r="C25" s="2" t="inlineStr">
        <is>
          <t>tCO2e / INR Cr lent</t>
        </is>
      </c>
      <c r="D25" s="2" t="inlineStr">
        <is>
          <t>Carbon footprint of this exposure</t>
        </is>
      </c>
    </row>
    <row r="26">
      <c r="A26" s="9" t="inlineStr">
        <is>
          <t>Company economic emission intensity</t>
        </is>
      </c>
      <c r="B26" s="25">
        <f>IFERROR(B21/B12,0)</f>
        <v/>
      </c>
      <c r="C26" s="2" t="inlineStr">
        <is>
          <t>tCO2e / INR Cr revenue</t>
        </is>
      </c>
      <c r="D26" s="2" t="inlineStr">
        <is>
          <t>Compare with sector peers</t>
        </is>
      </c>
    </row>
    <row r="28">
      <c r="A28" s="2" t="inlineStr">
        <is>
          <t>Method: PCAF Global GHG Accounting &amp; Reporting Standard, Part A (Financed Emissions), business loans &amp; listed equity/corporate bonds.</t>
        </is>
      </c>
    </row>
    <row r="29">
      <c r="A29" s="2" t="inlineStr">
        <is>
          <t>Sector factors in data/emission_factors.csv are illustrative placeholders; replace them with PCAF database or bank-approved factors before reporting.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xSplit="1" ySplit="22" topLeftCell="B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Deccan Polyfab Industries Ltd (fictional sample) - projected financials and DSCR (₹ Cr)</t>
        </is>
      </c>
    </row>
    <row r="2">
      <c r="A2" s="2" t="inlineStr">
        <is>
          <t>Yellow cells are assumptions: change them and every projection, DSCR and coverage figure recalculates.</t>
        </is>
      </c>
    </row>
    <row r="3">
      <c r="A3" s="3" t="inlineStr">
        <is>
          <t>Assumption</t>
        </is>
      </c>
      <c r="B3" s="3" t="inlineStr">
        <is>
          <t>Value</t>
        </is>
      </c>
      <c r="C3" s="28" t="n"/>
      <c r="D3" s="28" t="n"/>
      <c r="E3" s="28" t="n"/>
      <c r="F3" s="28" t="n"/>
    </row>
    <row r="4">
      <c r="A4" s="29" t="inlineStr">
        <is>
          <t>Base revenue (latest audited)</t>
        </is>
      </c>
      <c r="B4" s="30" t="n">
        <v>1350</v>
      </c>
      <c r="C4" s="28" t="n"/>
      <c r="D4" s="28" t="n"/>
      <c r="E4" s="28" t="n"/>
      <c r="F4" s="28" t="n"/>
    </row>
    <row r="5">
      <c r="A5" s="29" t="inlineStr">
        <is>
          <t>Revenue growth p.a.</t>
        </is>
      </c>
      <c r="B5" s="31" t="n">
        <v>0.08000000000000007</v>
      </c>
      <c r="C5" s="28" t="n"/>
      <c r="D5" s="28" t="n"/>
      <c r="E5" s="28" t="n"/>
      <c r="F5" s="28" t="n"/>
    </row>
    <row r="6">
      <c r="A6" s="29" t="inlineStr">
        <is>
          <t>EBITDA margin</t>
        </is>
      </c>
      <c r="B6" s="31" t="n">
        <v>0.1703703703703704</v>
      </c>
      <c r="C6" s="28" t="n"/>
      <c r="D6" s="28" t="n"/>
      <c r="E6" s="28" t="n"/>
      <c r="F6" s="28" t="n"/>
    </row>
    <row r="7">
      <c r="A7" s="29" t="inlineStr">
        <is>
          <t>Depreciation (existing assets)</t>
        </is>
      </c>
      <c r="B7" s="30" t="n">
        <v>38</v>
      </c>
      <c r="C7" s="28" t="n"/>
      <c r="D7" s="28" t="n"/>
      <c r="E7" s="28" t="n"/>
      <c r="F7" s="28" t="n"/>
    </row>
    <row r="8">
      <c r="A8" s="29" t="inlineStr">
        <is>
          <t>Other income p.a.</t>
        </is>
      </c>
      <c r="B8" s="30" t="n">
        <v>18</v>
      </c>
      <c r="C8" s="28" t="n"/>
      <c r="D8" s="28" t="n"/>
      <c r="E8" s="28" t="n"/>
      <c r="F8" s="28" t="n"/>
    </row>
    <row r="9">
      <c r="A9" s="29" t="inlineStr">
        <is>
          <t>Existing term debt</t>
        </is>
      </c>
      <c r="B9" s="30" t="n">
        <v>380</v>
      </c>
      <c r="C9" s="28" t="n"/>
      <c r="D9" s="28" t="n"/>
      <c r="E9" s="28" t="n"/>
      <c r="F9" s="28" t="n"/>
    </row>
    <row r="10">
      <c r="A10" s="29" t="inlineStr">
        <is>
          <t>Existing term debt - remaining years</t>
        </is>
      </c>
      <c r="B10" s="32" t="n">
        <v>4</v>
      </c>
      <c r="C10" s="28" t="n"/>
      <c r="D10" s="28" t="n"/>
      <c r="E10" s="28" t="n"/>
      <c r="F10" s="28" t="n"/>
    </row>
    <row r="11">
      <c r="A11" s="29" t="inlineStr">
        <is>
          <t>Interest rate on existing debt</t>
        </is>
      </c>
      <c r="B11" s="31" t="n">
        <v>0.08985507246376812</v>
      </c>
      <c r="C11" s="28" t="n"/>
      <c r="D11" s="28" t="n"/>
      <c r="E11" s="28" t="n"/>
      <c r="F11" s="28" t="n"/>
    </row>
    <row r="12">
      <c r="A12" s="29" t="inlineStr">
        <is>
          <t>Working-capital borrowings</t>
        </is>
      </c>
      <c r="B12" s="30" t="n">
        <v>360</v>
      </c>
      <c r="C12" s="28" t="n"/>
      <c r="D12" s="28" t="n"/>
      <c r="E12" s="28" t="n"/>
      <c r="F12" s="28" t="n"/>
    </row>
    <row r="13">
      <c r="A13" s="29" t="inlineStr">
        <is>
          <t>Interest rate on working capital</t>
        </is>
      </c>
      <c r="B13" s="31" t="n">
        <v>0.095</v>
      </c>
      <c r="C13" s="28" t="n"/>
      <c r="D13" s="28" t="n"/>
      <c r="E13" s="28" t="n"/>
      <c r="F13" s="28" t="n"/>
    </row>
    <row r="14">
      <c r="A14" s="29" t="inlineStr">
        <is>
          <t>New term loan</t>
        </is>
      </c>
      <c r="B14" s="30" t="n">
        <v>40</v>
      </c>
      <c r="C14" s="28" t="n"/>
      <c r="D14" s="28" t="n"/>
      <c r="E14" s="28" t="n"/>
      <c r="F14" s="28" t="n"/>
    </row>
    <row r="15">
      <c r="A15" s="29" t="inlineStr">
        <is>
          <t>New term loan rate</t>
        </is>
      </c>
      <c r="B15" s="31" t="n">
        <v>0.0975</v>
      </c>
      <c r="C15" s="28" t="n"/>
      <c r="D15" s="28" t="n"/>
      <c r="E15" s="28" t="n"/>
      <c r="F15" s="28" t="n"/>
    </row>
    <row r="16">
      <c r="A16" s="29" t="inlineStr">
        <is>
          <t>Tax rate</t>
        </is>
      </c>
      <c r="B16" s="31" t="n">
        <v>0.2517</v>
      </c>
      <c r="C16" s="28" t="n"/>
      <c r="D16" s="28" t="n"/>
      <c r="E16" s="28" t="n"/>
      <c r="F16" s="28" t="n"/>
    </row>
    <row r="17">
      <c r="A17" s="29" t="inlineStr">
        <is>
          <t>Depreciation on new assets</t>
        </is>
      </c>
      <c r="B17" s="30" t="n">
        <v>4</v>
      </c>
      <c r="C17" s="28" t="n"/>
      <c r="D17" s="28" t="n"/>
      <c r="E17" s="28" t="n"/>
      <c r="F17" s="28" t="n"/>
    </row>
    <row r="18">
      <c r="A18" s="29" t="inlineStr">
        <is>
          <t>Opening net worth</t>
        </is>
      </c>
      <c r="B18" s="30" t="n">
        <v>470</v>
      </c>
      <c r="C18" s="28" t="n"/>
      <c r="D18" s="28" t="n"/>
      <c r="E18" s="28" t="n"/>
      <c r="F18" s="28" t="n"/>
    </row>
    <row r="19">
      <c r="A19" s="29" t="inlineStr">
        <is>
          <t>Term-loan tenor (years)</t>
        </is>
      </c>
      <c r="B19" s="32" t="n">
        <v>5</v>
      </c>
      <c r="C19" s="28" t="n"/>
      <c r="D19" s="28" t="n"/>
      <c r="E19" s="28" t="n"/>
      <c r="F19" s="28" t="n"/>
    </row>
    <row r="20">
      <c r="A20" s="29" t="inlineStr">
        <is>
          <t>Moratorium (months)</t>
        </is>
      </c>
      <c r="B20" s="32" t="n">
        <v>6</v>
      </c>
      <c r="C20" s="28" t="n"/>
      <c r="D20" s="28" t="n"/>
      <c r="E20" s="28" t="n"/>
      <c r="F20" s="28" t="n"/>
    </row>
    <row r="21">
      <c r="A21" s="28" t="n"/>
      <c r="B21" s="28" t="n"/>
      <c r="C21" s="28" t="n"/>
      <c r="D21" s="28" t="n"/>
      <c r="E21" s="28" t="n"/>
      <c r="F21" s="28" t="n"/>
    </row>
    <row r="22">
      <c r="A22" s="3" t="inlineStr">
        <is>
          <t>Projection</t>
        </is>
      </c>
      <c r="B22" s="3" t="inlineStr">
        <is>
          <t>Y+1</t>
        </is>
      </c>
      <c r="C22" s="3" t="inlineStr">
        <is>
          <t>Y+2</t>
        </is>
      </c>
      <c r="D22" s="3" t="inlineStr">
        <is>
          <t>Y+3</t>
        </is>
      </c>
      <c r="E22" s="3" t="inlineStr">
        <is>
          <t>Y+4</t>
        </is>
      </c>
      <c r="F22" s="3" t="inlineStr">
        <is>
          <t>Y+5</t>
        </is>
      </c>
    </row>
    <row r="23">
      <c r="A23" s="29" t="inlineStr">
        <is>
          <t>Revenue</t>
        </is>
      </c>
      <c r="B23" s="33">
        <f>$B$4*(1+$B$5)</f>
        <v/>
      </c>
      <c r="C23" s="33">
        <f>B23*(1+$B$5)</f>
        <v/>
      </c>
      <c r="D23" s="33">
        <f>C23*(1+$B$5)</f>
        <v/>
      </c>
      <c r="E23" s="33">
        <f>D23*(1+$B$5)</f>
        <v/>
      </c>
      <c r="F23" s="33">
        <f>E23*(1+$B$5)</f>
        <v/>
      </c>
    </row>
    <row r="24">
      <c r="A24" s="29" t="inlineStr">
        <is>
          <t>EBITDA</t>
        </is>
      </c>
      <c r="B24" s="33">
        <f>B23*$B$6</f>
        <v/>
      </c>
      <c r="C24" s="33">
        <f>C23*$B$6</f>
        <v/>
      </c>
      <c r="D24" s="33">
        <f>D23*$B$6</f>
        <v/>
      </c>
      <c r="E24" s="33">
        <f>E23*$B$6</f>
        <v/>
      </c>
      <c r="F24" s="33">
        <f>F23*$B$6</f>
        <v/>
      </c>
    </row>
    <row r="25">
      <c r="A25" s="29" t="inlineStr">
        <is>
          <t>Other income</t>
        </is>
      </c>
      <c r="B25" s="33">
        <f>$B$8</f>
        <v/>
      </c>
      <c r="C25" s="33">
        <f>$B$8</f>
        <v/>
      </c>
      <c r="D25" s="33">
        <f>$B$8</f>
        <v/>
      </c>
      <c r="E25" s="33">
        <f>$B$8</f>
        <v/>
      </c>
      <c r="F25" s="33">
        <f>$B$8</f>
        <v/>
      </c>
    </row>
    <row r="26">
      <c r="A26" s="29" t="inlineStr">
        <is>
          <t>Depreciation</t>
        </is>
      </c>
      <c r="B26" s="33">
        <f>$B$7+$B$17</f>
        <v/>
      </c>
      <c r="C26" s="33">
        <f>$B$7+$B$17</f>
        <v/>
      </c>
      <c r="D26" s="33">
        <f>$B$7+$B$17</f>
        <v/>
      </c>
      <c r="E26" s="33">
        <f>$B$7+$B$17</f>
        <v/>
      </c>
      <c r="F26" s="33">
        <f>$B$7+$B$17</f>
        <v/>
      </c>
    </row>
    <row r="27">
      <c r="A27" s="29" t="inlineStr">
        <is>
          <t>Existing TL - opening</t>
        </is>
      </c>
      <c r="B27" s="33">
        <f>$B$9</f>
        <v/>
      </c>
      <c r="C27" s="33">
        <f>B29</f>
        <v/>
      </c>
      <c r="D27" s="33">
        <f>C29</f>
        <v/>
      </c>
      <c r="E27" s="33">
        <f>D29</f>
        <v/>
      </c>
      <c r="F27" s="33">
        <f>E29</f>
        <v/>
      </c>
    </row>
    <row r="28">
      <c r="A28" s="29" t="inlineStr">
        <is>
          <t>Existing TL - repayment</t>
        </is>
      </c>
      <c r="B28" s="33">
        <f>MIN($B$9/MAX($B$10,1),B27)</f>
        <v/>
      </c>
      <c r="C28" s="33">
        <f>MIN($B$9/MAX($B$10,1),C27)</f>
        <v/>
      </c>
      <c r="D28" s="33">
        <f>MIN($B$9/MAX($B$10,1),D27)</f>
        <v/>
      </c>
      <c r="E28" s="33">
        <f>MIN($B$9/MAX($B$10,1),E27)</f>
        <v/>
      </c>
      <c r="F28" s="33">
        <f>MIN($B$9/MAX($B$10,1),F27)</f>
        <v/>
      </c>
    </row>
    <row r="29">
      <c r="A29" s="29" t="inlineStr">
        <is>
          <t>Existing TL - closing</t>
        </is>
      </c>
      <c r="B29" s="33">
        <f>B27-B28</f>
        <v/>
      </c>
      <c r="C29" s="33">
        <f>C27-C28</f>
        <v/>
      </c>
      <c r="D29" s="33">
        <f>D27-D28</f>
        <v/>
      </c>
      <c r="E29" s="33">
        <f>E27-E28</f>
        <v/>
      </c>
      <c r="F29" s="33">
        <f>F27-F28</f>
        <v/>
      </c>
    </row>
    <row r="30">
      <c r="A30" s="29" t="inlineStr">
        <is>
          <t>Existing TL - interest</t>
        </is>
      </c>
      <c r="B30" s="33">
        <f>(B27-B28/2)*$B$11</f>
        <v/>
      </c>
      <c r="C30" s="33">
        <f>(C27-C28/2)*$B$11</f>
        <v/>
      </c>
      <c r="D30" s="33">
        <f>(D27-D28/2)*$B$11</f>
        <v/>
      </c>
      <c r="E30" s="33">
        <f>(E27-E28/2)*$B$11</f>
        <v/>
      </c>
      <c r="F30" s="33">
        <f>(F27-F28/2)*$B$11</f>
        <v/>
      </c>
    </row>
    <row r="31">
      <c r="A31" s="29" t="inlineStr">
        <is>
          <t>New TL - interest</t>
        </is>
      </c>
      <c r="B31" s="34">
        <f>SUMIF('Repayment Schedule'!$B:$B,1,'Repayment Schedule'!$E:$E)</f>
        <v/>
      </c>
      <c r="C31" s="34">
        <f>SUMIF('Repayment Schedule'!$B:$B,2,'Repayment Schedule'!$E:$E)</f>
        <v/>
      </c>
      <c r="D31" s="34">
        <f>SUMIF('Repayment Schedule'!$B:$B,3,'Repayment Schedule'!$E:$E)</f>
        <v/>
      </c>
      <c r="E31" s="34">
        <f>SUMIF('Repayment Schedule'!$B:$B,4,'Repayment Schedule'!$E:$E)</f>
        <v/>
      </c>
      <c r="F31" s="34">
        <f>SUMIF('Repayment Schedule'!$B:$B,5,'Repayment Schedule'!$E:$E)</f>
        <v/>
      </c>
    </row>
    <row r="32">
      <c r="A32" s="29" t="inlineStr">
        <is>
          <t>New TL - repayment</t>
        </is>
      </c>
      <c r="B32" s="34">
        <f>SUMIF('Repayment Schedule'!$B:$B,1,'Repayment Schedule'!$F:$F)</f>
        <v/>
      </c>
      <c r="C32" s="34">
        <f>SUMIF('Repayment Schedule'!$B:$B,2,'Repayment Schedule'!$F:$F)</f>
        <v/>
      </c>
      <c r="D32" s="34">
        <f>SUMIF('Repayment Schedule'!$B:$B,3,'Repayment Schedule'!$F:$F)</f>
        <v/>
      </c>
      <c r="E32" s="34">
        <f>SUMIF('Repayment Schedule'!$B:$B,4,'Repayment Schedule'!$F:$F)</f>
        <v/>
      </c>
      <c r="F32" s="34">
        <f>SUMIF('Repayment Schedule'!$B:$B,5,'Repayment Schedule'!$F:$F)</f>
        <v/>
      </c>
    </row>
    <row r="33">
      <c r="A33" s="29" t="inlineStr">
        <is>
          <t>Working-capital interest</t>
        </is>
      </c>
      <c r="B33" s="33">
        <f>$B$12*$B$13</f>
        <v/>
      </c>
      <c r="C33" s="33">
        <f>$B$12*$B$13</f>
        <v/>
      </c>
      <c r="D33" s="33">
        <f>$B$12*$B$13</f>
        <v/>
      </c>
      <c r="E33" s="33">
        <f>$B$12*$B$13</f>
        <v/>
      </c>
      <c r="F33" s="33">
        <f>$B$12*$B$13</f>
        <v/>
      </c>
    </row>
    <row r="34">
      <c r="A34" s="35" t="inlineStr">
        <is>
          <t>Total interest</t>
        </is>
      </c>
      <c r="B34" s="33">
        <f>B30+B31+B33</f>
        <v/>
      </c>
      <c r="C34" s="33">
        <f>C30+C31+C33</f>
        <v/>
      </c>
      <c r="D34" s="33">
        <f>D30+D31+D33</f>
        <v/>
      </c>
      <c r="E34" s="33">
        <f>E30+E31+E33</f>
        <v/>
      </c>
      <c r="F34" s="33">
        <f>F30+F31+F33</f>
        <v/>
      </c>
    </row>
    <row r="35">
      <c r="A35" s="29" t="inlineStr">
        <is>
          <t>Profit before tax</t>
        </is>
      </c>
      <c r="B35" s="33">
        <f>B24+B25-B26-B34</f>
        <v/>
      </c>
      <c r="C35" s="33">
        <f>C24+C25-C26-C34</f>
        <v/>
      </c>
      <c r="D35" s="33">
        <f>D24+D25-D26-D34</f>
        <v/>
      </c>
      <c r="E35" s="33">
        <f>E24+E25-E26-E34</f>
        <v/>
      </c>
      <c r="F35" s="33">
        <f>F24+F25-F26-F34</f>
        <v/>
      </c>
    </row>
    <row r="36">
      <c r="A36" s="29" t="inlineStr">
        <is>
          <t>Tax</t>
        </is>
      </c>
      <c r="B36" s="33">
        <f>MAX(B35,0)*$B$16</f>
        <v/>
      </c>
      <c r="C36" s="33">
        <f>MAX(C35,0)*$B$16</f>
        <v/>
      </c>
      <c r="D36" s="33">
        <f>MAX(D35,0)*$B$16</f>
        <v/>
      </c>
      <c r="E36" s="33">
        <f>MAX(E35,0)*$B$16</f>
        <v/>
      </c>
      <c r="F36" s="33">
        <f>MAX(F35,0)*$B$16</f>
        <v/>
      </c>
    </row>
    <row r="37">
      <c r="A37" s="35" t="inlineStr">
        <is>
          <t>Profit after tax</t>
        </is>
      </c>
      <c r="B37" s="33">
        <f>B35-B36</f>
        <v/>
      </c>
      <c r="C37" s="33">
        <f>C35-C36</f>
        <v/>
      </c>
      <c r="D37" s="33">
        <f>D35-D36</f>
        <v/>
      </c>
      <c r="E37" s="33">
        <f>E35-E36</f>
        <v/>
      </c>
      <c r="F37" s="33">
        <f>F35-F36</f>
        <v/>
      </c>
    </row>
    <row r="38">
      <c r="A38" s="29" t="inlineStr">
        <is>
          <t>Cash accruals (PAT + dep.)</t>
        </is>
      </c>
      <c r="B38" s="33">
        <f>B37+B26</f>
        <v/>
      </c>
      <c r="C38" s="33">
        <f>C37+C26</f>
        <v/>
      </c>
      <c r="D38" s="33">
        <f>D37+D26</f>
        <v/>
      </c>
      <c r="E38" s="33">
        <f>E37+E26</f>
        <v/>
      </c>
      <c r="F38" s="33">
        <f>F37+F26</f>
        <v/>
      </c>
    </row>
    <row r="39">
      <c r="A39" s="29" t="inlineStr">
        <is>
          <t>Term-debt interest</t>
        </is>
      </c>
      <c r="B39" s="33">
        <f>B30+B31</f>
        <v/>
      </c>
      <c r="C39" s="33">
        <f>C30+C31</f>
        <v/>
      </c>
      <c r="D39" s="33">
        <f>D30+D31</f>
        <v/>
      </c>
      <c r="E39" s="33">
        <f>E30+E31</f>
        <v/>
      </c>
      <c r="F39" s="33">
        <f>F30+F31</f>
        <v/>
      </c>
    </row>
    <row r="40">
      <c r="A40" s="29" t="inlineStr">
        <is>
          <t>Term-debt principal</t>
        </is>
      </c>
      <c r="B40" s="33">
        <f>B28+B32</f>
        <v/>
      </c>
      <c r="C40" s="33">
        <f>C28+C32</f>
        <v/>
      </c>
      <c r="D40" s="33">
        <f>D28+D32</f>
        <v/>
      </c>
      <c r="E40" s="33">
        <f>E28+E32</f>
        <v/>
      </c>
      <c r="F40" s="33">
        <f>F28+F32</f>
        <v/>
      </c>
    </row>
    <row r="41">
      <c r="A41" s="35" t="inlineStr">
        <is>
          <t>DSCR</t>
        </is>
      </c>
      <c r="B41" s="36">
        <f>IFERROR((B37+B26+B39)/(B39+B40),"-")</f>
        <v/>
      </c>
      <c r="C41" s="36">
        <f>IFERROR((C37+C26+C39)/(C39+C40),"-")</f>
        <v/>
      </c>
      <c r="D41" s="36">
        <f>IFERROR((D37+D26+D39)/(D39+D40),"-")</f>
        <v/>
      </c>
      <c r="E41" s="36">
        <f>IFERROR((E37+E26+E39)/(E39+E40),"-")</f>
        <v/>
      </c>
      <c r="F41" s="36">
        <f>IFERROR((F37+F26+F39)/(F39+F40),"-")</f>
        <v/>
      </c>
    </row>
    <row r="42">
      <c r="A42" s="29" t="inlineStr">
        <is>
          <t>Interest coverage</t>
        </is>
      </c>
      <c r="B42" s="36">
        <f>IFERROR((B24+B25-B26)/B34,"-")</f>
        <v/>
      </c>
      <c r="C42" s="36">
        <f>IFERROR((C24+C25-C26)/C34,"-")</f>
        <v/>
      </c>
      <c r="D42" s="36">
        <f>IFERROR((D24+D25-D26)/D34,"-")</f>
        <v/>
      </c>
      <c r="E42" s="36">
        <f>IFERROR((E24+E25-E26)/E34,"-")</f>
        <v/>
      </c>
      <c r="F42" s="36">
        <f>IFERROR((F24+F25-F26)/F34,"-")</f>
        <v/>
      </c>
    </row>
    <row r="43">
      <c r="A43" s="29" t="inlineStr">
        <is>
          <t>Surplus after term repayment</t>
        </is>
      </c>
      <c r="B43" s="33">
        <f>B38-B40</f>
        <v/>
      </c>
      <c r="C43" s="33">
        <f>C38-C40</f>
        <v/>
      </c>
      <c r="D43" s="33">
        <f>D38-D40</f>
        <v/>
      </c>
      <c r="E43" s="33">
        <f>E38-E40</f>
        <v/>
      </c>
      <c r="F43" s="33">
        <f>F38-F40</f>
        <v/>
      </c>
    </row>
    <row r="44">
      <c r="A44" s="29" t="inlineStr">
        <is>
          <t>Net worth (closing)</t>
        </is>
      </c>
      <c r="B44" s="33">
        <f>$B$18+B37</f>
        <v/>
      </c>
      <c r="C44" s="33">
        <f>B44+C37</f>
        <v/>
      </c>
      <c r="D44" s="33">
        <f>C44+D37</f>
        <v/>
      </c>
      <c r="E44" s="33">
        <f>D44+E37</f>
        <v/>
      </c>
      <c r="F44" s="33">
        <f>E44+F37</f>
        <v/>
      </c>
    </row>
    <row r="45">
      <c r="A45" s="28" t="n"/>
      <c r="B45" s="28" t="n"/>
      <c r="C45" s="28" t="n"/>
      <c r="D45" s="28" t="n"/>
      <c r="E45" s="28" t="n"/>
      <c r="F45" s="28" t="n"/>
    </row>
    <row r="46">
      <c r="A46" s="37" t="inlineStr">
        <is>
          <t>Average DSCR (total cash available / total debt service)</t>
        </is>
      </c>
      <c r="B46" s="38">
        <f>IFERROR((SUM(B37:F37)+SUM(B26:F26)+SUM(B39:F39))/(SUM(B39:F39)+SUM(B40:F40)),"-")</f>
        <v/>
      </c>
      <c r="C46" s="28" t="n"/>
      <c r="D46" s="28" t="n"/>
      <c r="E46" s="28" t="n"/>
      <c r="F46" s="28" t="n"/>
    </row>
    <row r="47">
      <c r="A47" s="35" t="inlineStr">
        <is>
          <t>Minimum DSCR</t>
        </is>
      </c>
      <c r="B47" s="39">
        <f>MIN(B41:F41)</f>
        <v/>
      </c>
      <c r="C47" s="28" t="n"/>
      <c r="D47" s="28" t="n"/>
      <c r="E47" s="28" t="n"/>
      <c r="F47" s="28" t="n"/>
    </row>
    <row r="48">
      <c r="A48" s="28" t="n"/>
      <c r="B48" s="28" t="n"/>
      <c r="C48" s="28" t="n"/>
      <c r="D48" s="28" t="n"/>
      <c r="E48" s="28" t="n"/>
      <c r="F48" s="28" t="n"/>
    </row>
    <row r="49">
      <c r="A49" s="40" t="inlineStr">
        <is>
          <t>Bank norms: average DSCR &gt;= 1.25x, minimum &gt;= 1.10x (check the bank's policy).</t>
        </is>
      </c>
      <c r="B49" s="28" t="n"/>
      <c r="C49" s="28" t="n"/>
      <c r="D49" s="28" t="n"/>
      <c r="E49" s="28" t="n"/>
      <c r="F49" s="28" t="n"/>
    </row>
  </sheetData>
  <conditionalFormatting sqref="B41:F41">
    <cfRule type="cellIs" priority="1" operator="greaterThanOrEqual" dxfId="0">
      <formula>1.25</formula>
    </cfRule>
    <cfRule type="cellIs" priority="2" operator="lessThan" dxfId="1">
      <formula>1.1</formula>
    </cfRule>
  </conditionalFormatting>
  <conditionalFormatting sqref="B46">
    <cfRule type="cellIs" priority="3" operator="greaterThanOrEqual" dxfId="0">
      <formula>1.25</formula>
    </cfRule>
    <cfRule type="cellIs" priority="4" operator="lessThan" dxfId="1">
      <formula>1.1</formula>
    </cfRule>
  </conditionalFormatting>
  <conditionalFormatting sqref="B47">
    <cfRule type="cellIs" priority="5" operator="greaterThanOrEqual" dxfId="0">
      <formula>1.1</formula>
    </cfRule>
    <cfRule type="cellIs" priority="6" operator="lessThan" dxfId="1">
      <formula>1.0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New term loan - quarterly repayment schedule (₹ Cr)</t>
        </is>
      </c>
    </row>
    <row r="2">
      <c r="A2" s="2" t="inlineStr">
        <is>
          <t>Amount, rate, tenor and moratorium link to the assumptions on 'Projections &amp; DSCR'.</t>
        </is>
      </c>
    </row>
    <row r="3">
      <c r="A3" s="3" t="inlineStr">
        <is>
          <t>Quarter</t>
        </is>
      </c>
      <c r="B3" s="3" t="inlineStr">
        <is>
          <t>Year</t>
        </is>
      </c>
      <c r="C3" s="3" t="inlineStr">
        <is>
          <t>Opening</t>
        </is>
      </c>
      <c r="D3" s="3" t="inlineStr">
        <is>
          <t>Instalment due</t>
        </is>
      </c>
      <c r="E3" s="3" t="inlineStr">
        <is>
          <t>Interest</t>
        </is>
      </c>
      <c r="F3" s="3" t="inlineStr">
        <is>
          <t>Principal</t>
        </is>
      </c>
      <c r="G3" s="3" t="inlineStr">
        <is>
          <t>Closing</t>
        </is>
      </c>
      <c r="H3" s="28" t="n"/>
      <c r="I3" s="41" t="inlineStr">
        <is>
          <t>Instalment</t>
        </is>
      </c>
      <c r="J3" s="42">
        <f>IFERROR('Projections &amp; DSCR'!$B$14/('Projections &amp; DSCR'!$B$19*4-ROUND('Projections &amp; DSCR'!$B$20/3,0)),0)</f>
        <v/>
      </c>
    </row>
    <row r="4">
      <c r="A4" s="43" t="n">
        <v>1</v>
      </c>
      <c r="B4" s="43">
        <f>ROUNDUP(A4/4,0)</f>
        <v/>
      </c>
      <c r="C4" s="33">
        <f>'Projections &amp; DSCR'!$B$14</f>
        <v/>
      </c>
      <c r="D4" s="34">
        <f>IF(A4&gt;ROUND('Projections &amp; DSCR'!$B$20/3,0),$J$3,0)</f>
        <v/>
      </c>
      <c r="E4" s="33">
        <f>C4*'Projections &amp; DSCR'!$B$15/4</f>
        <v/>
      </c>
      <c r="F4" s="33">
        <f>MIN(D4,C4)</f>
        <v/>
      </c>
      <c r="G4" s="33">
        <f>C4-F4</f>
        <v/>
      </c>
      <c r="H4" s="28" t="n"/>
      <c r="I4" s="28" t="n"/>
      <c r="J4" s="28" t="n"/>
    </row>
    <row r="5">
      <c r="A5" s="43" t="n">
        <v>2</v>
      </c>
      <c r="B5" s="43">
        <f>ROUNDUP(A5/4,0)</f>
        <v/>
      </c>
      <c r="C5" s="33">
        <f>G4</f>
        <v/>
      </c>
      <c r="D5" s="34">
        <f>IF(A5&gt;ROUND('Projections &amp; DSCR'!$B$20/3,0),$J$3,0)</f>
        <v/>
      </c>
      <c r="E5" s="33">
        <f>C5*'Projections &amp; DSCR'!$B$15/4</f>
        <v/>
      </c>
      <c r="F5" s="33">
        <f>MIN(D5,C5)</f>
        <v/>
      </c>
      <c r="G5" s="33">
        <f>C5-F5</f>
        <v/>
      </c>
      <c r="H5" s="28" t="n"/>
      <c r="I5" s="28" t="n"/>
      <c r="J5" s="28" t="n"/>
    </row>
    <row r="6">
      <c r="A6" s="43" t="n">
        <v>3</v>
      </c>
      <c r="B6" s="43">
        <f>ROUNDUP(A6/4,0)</f>
        <v/>
      </c>
      <c r="C6" s="33">
        <f>G5</f>
        <v/>
      </c>
      <c r="D6" s="34">
        <f>IF(A6&gt;ROUND('Projections &amp; DSCR'!$B$20/3,0),$J$3,0)</f>
        <v/>
      </c>
      <c r="E6" s="33">
        <f>C6*'Projections &amp; DSCR'!$B$15/4</f>
        <v/>
      </c>
      <c r="F6" s="33">
        <f>MIN(D6,C6)</f>
        <v/>
      </c>
      <c r="G6" s="33">
        <f>C6-F6</f>
        <v/>
      </c>
      <c r="H6" s="28" t="n"/>
      <c r="I6" s="28" t="n"/>
      <c r="J6" s="28" t="n"/>
    </row>
    <row r="7">
      <c r="A7" s="43" t="n">
        <v>4</v>
      </c>
      <c r="B7" s="43">
        <f>ROUNDUP(A7/4,0)</f>
        <v/>
      </c>
      <c r="C7" s="33">
        <f>G6</f>
        <v/>
      </c>
      <c r="D7" s="34">
        <f>IF(A7&gt;ROUND('Projections &amp; DSCR'!$B$20/3,0),$J$3,0)</f>
        <v/>
      </c>
      <c r="E7" s="33">
        <f>C7*'Projections &amp; DSCR'!$B$15/4</f>
        <v/>
      </c>
      <c r="F7" s="33">
        <f>MIN(D7,C7)</f>
        <v/>
      </c>
      <c r="G7" s="33">
        <f>C7-F7</f>
        <v/>
      </c>
      <c r="H7" s="28" t="n"/>
      <c r="I7" s="28" t="n"/>
      <c r="J7" s="28" t="n"/>
    </row>
    <row r="8">
      <c r="A8" s="43" t="n">
        <v>5</v>
      </c>
      <c r="B8" s="43">
        <f>ROUNDUP(A8/4,0)</f>
        <v/>
      </c>
      <c r="C8" s="33">
        <f>G7</f>
        <v/>
      </c>
      <c r="D8" s="34">
        <f>IF(A8&gt;ROUND('Projections &amp; DSCR'!$B$20/3,0),$J$3,0)</f>
        <v/>
      </c>
      <c r="E8" s="33">
        <f>C8*'Projections &amp; DSCR'!$B$15/4</f>
        <v/>
      </c>
      <c r="F8" s="33">
        <f>MIN(D8,C8)</f>
        <v/>
      </c>
      <c r="G8" s="33">
        <f>C8-F8</f>
        <v/>
      </c>
      <c r="H8" s="28" t="n"/>
      <c r="I8" s="28" t="n"/>
      <c r="J8" s="28" t="n"/>
    </row>
    <row r="9">
      <c r="A9" s="43" t="n">
        <v>6</v>
      </c>
      <c r="B9" s="43">
        <f>ROUNDUP(A9/4,0)</f>
        <v/>
      </c>
      <c r="C9" s="33">
        <f>G8</f>
        <v/>
      </c>
      <c r="D9" s="34">
        <f>IF(A9&gt;ROUND('Projections &amp; DSCR'!$B$20/3,0),$J$3,0)</f>
        <v/>
      </c>
      <c r="E9" s="33">
        <f>C9*'Projections &amp; DSCR'!$B$15/4</f>
        <v/>
      </c>
      <c r="F9" s="33">
        <f>MIN(D9,C9)</f>
        <v/>
      </c>
      <c r="G9" s="33">
        <f>C9-F9</f>
        <v/>
      </c>
      <c r="H9" s="28" t="n"/>
      <c r="I9" s="28" t="n"/>
      <c r="J9" s="28" t="n"/>
    </row>
    <row r="10">
      <c r="A10" s="43" t="n">
        <v>7</v>
      </c>
      <c r="B10" s="43">
        <f>ROUNDUP(A10/4,0)</f>
        <v/>
      </c>
      <c r="C10" s="33">
        <f>G9</f>
        <v/>
      </c>
      <c r="D10" s="34">
        <f>IF(A10&gt;ROUND('Projections &amp; DSCR'!$B$20/3,0),$J$3,0)</f>
        <v/>
      </c>
      <c r="E10" s="33">
        <f>C10*'Projections &amp; DSCR'!$B$15/4</f>
        <v/>
      </c>
      <c r="F10" s="33">
        <f>MIN(D10,C10)</f>
        <v/>
      </c>
      <c r="G10" s="33">
        <f>C10-F10</f>
        <v/>
      </c>
      <c r="H10" s="28" t="n"/>
      <c r="I10" s="28" t="n"/>
      <c r="J10" s="28" t="n"/>
    </row>
    <row r="11">
      <c r="A11" s="43" t="n">
        <v>8</v>
      </c>
      <c r="B11" s="43">
        <f>ROUNDUP(A11/4,0)</f>
        <v/>
      </c>
      <c r="C11" s="33">
        <f>G10</f>
        <v/>
      </c>
      <c r="D11" s="34">
        <f>IF(A11&gt;ROUND('Projections &amp; DSCR'!$B$20/3,0),$J$3,0)</f>
        <v/>
      </c>
      <c r="E11" s="33">
        <f>C11*'Projections &amp; DSCR'!$B$15/4</f>
        <v/>
      </c>
      <c r="F11" s="33">
        <f>MIN(D11,C11)</f>
        <v/>
      </c>
      <c r="G11" s="33">
        <f>C11-F11</f>
        <v/>
      </c>
      <c r="H11" s="28" t="n"/>
      <c r="I11" s="28" t="n"/>
      <c r="J11" s="28" t="n"/>
    </row>
    <row r="12">
      <c r="A12" s="43" t="n">
        <v>9</v>
      </c>
      <c r="B12" s="43">
        <f>ROUNDUP(A12/4,0)</f>
        <v/>
      </c>
      <c r="C12" s="33">
        <f>G11</f>
        <v/>
      </c>
      <c r="D12" s="34">
        <f>IF(A12&gt;ROUND('Projections &amp; DSCR'!$B$20/3,0),$J$3,0)</f>
        <v/>
      </c>
      <c r="E12" s="33">
        <f>C12*'Projections &amp; DSCR'!$B$15/4</f>
        <v/>
      </c>
      <c r="F12" s="33">
        <f>MIN(D12,C12)</f>
        <v/>
      </c>
      <c r="G12" s="33">
        <f>C12-F12</f>
        <v/>
      </c>
      <c r="H12" s="28" t="n"/>
      <c r="I12" s="28" t="n"/>
      <c r="J12" s="28" t="n"/>
    </row>
    <row r="13">
      <c r="A13" s="43" t="n">
        <v>10</v>
      </c>
      <c r="B13" s="43">
        <f>ROUNDUP(A13/4,0)</f>
        <v/>
      </c>
      <c r="C13" s="33">
        <f>G12</f>
        <v/>
      </c>
      <c r="D13" s="34">
        <f>IF(A13&gt;ROUND('Projections &amp; DSCR'!$B$20/3,0),$J$3,0)</f>
        <v/>
      </c>
      <c r="E13" s="33">
        <f>C13*'Projections &amp; DSCR'!$B$15/4</f>
        <v/>
      </c>
      <c r="F13" s="33">
        <f>MIN(D13,C13)</f>
        <v/>
      </c>
      <c r="G13" s="33">
        <f>C13-F13</f>
        <v/>
      </c>
      <c r="H13" s="28" t="n"/>
      <c r="I13" s="28" t="n"/>
      <c r="J13" s="28" t="n"/>
    </row>
    <row r="14">
      <c r="A14" s="43" t="n">
        <v>11</v>
      </c>
      <c r="B14" s="43">
        <f>ROUNDUP(A14/4,0)</f>
        <v/>
      </c>
      <c r="C14" s="33">
        <f>G13</f>
        <v/>
      </c>
      <c r="D14" s="34">
        <f>IF(A14&gt;ROUND('Projections &amp; DSCR'!$B$20/3,0),$J$3,0)</f>
        <v/>
      </c>
      <c r="E14" s="33">
        <f>C14*'Projections &amp; DSCR'!$B$15/4</f>
        <v/>
      </c>
      <c r="F14" s="33">
        <f>MIN(D14,C14)</f>
        <v/>
      </c>
      <c r="G14" s="33">
        <f>C14-F14</f>
        <v/>
      </c>
      <c r="H14" s="28" t="n"/>
      <c r="I14" s="28" t="n"/>
      <c r="J14" s="28" t="n"/>
    </row>
    <row r="15">
      <c r="A15" s="43" t="n">
        <v>12</v>
      </c>
      <c r="B15" s="43">
        <f>ROUNDUP(A15/4,0)</f>
        <v/>
      </c>
      <c r="C15" s="33">
        <f>G14</f>
        <v/>
      </c>
      <c r="D15" s="34">
        <f>IF(A15&gt;ROUND('Projections &amp; DSCR'!$B$20/3,0),$J$3,0)</f>
        <v/>
      </c>
      <c r="E15" s="33">
        <f>C15*'Projections &amp; DSCR'!$B$15/4</f>
        <v/>
      </c>
      <c r="F15" s="33">
        <f>MIN(D15,C15)</f>
        <v/>
      </c>
      <c r="G15" s="33">
        <f>C15-F15</f>
        <v/>
      </c>
      <c r="H15" s="28" t="n"/>
      <c r="I15" s="28" t="n"/>
      <c r="J15" s="28" t="n"/>
    </row>
    <row r="16">
      <c r="A16" s="43" t="n">
        <v>13</v>
      </c>
      <c r="B16" s="43">
        <f>ROUNDUP(A16/4,0)</f>
        <v/>
      </c>
      <c r="C16" s="33">
        <f>G15</f>
        <v/>
      </c>
      <c r="D16" s="34">
        <f>IF(A16&gt;ROUND('Projections &amp; DSCR'!$B$20/3,0),$J$3,0)</f>
        <v/>
      </c>
      <c r="E16" s="33">
        <f>C16*'Projections &amp; DSCR'!$B$15/4</f>
        <v/>
      </c>
      <c r="F16" s="33">
        <f>MIN(D16,C16)</f>
        <v/>
      </c>
      <c r="G16" s="33">
        <f>C16-F16</f>
        <v/>
      </c>
      <c r="H16" s="28" t="n"/>
      <c r="I16" s="28" t="n"/>
      <c r="J16" s="28" t="n"/>
    </row>
    <row r="17">
      <c r="A17" s="43" t="n">
        <v>14</v>
      </c>
      <c r="B17" s="43">
        <f>ROUNDUP(A17/4,0)</f>
        <v/>
      </c>
      <c r="C17" s="33">
        <f>G16</f>
        <v/>
      </c>
      <c r="D17" s="34">
        <f>IF(A17&gt;ROUND('Projections &amp; DSCR'!$B$20/3,0),$J$3,0)</f>
        <v/>
      </c>
      <c r="E17" s="33">
        <f>C17*'Projections &amp; DSCR'!$B$15/4</f>
        <v/>
      </c>
      <c r="F17" s="33">
        <f>MIN(D17,C17)</f>
        <v/>
      </c>
      <c r="G17" s="33">
        <f>C17-F17</f>
        <v/>
      </c>
      <c r="H17" s="28" t="n"/>
      <c r="I17" s="28" t="n"/>
      <c r="J17" s="28" t="n"/>
    </row>
    <row r="18">
      <c r="A18" s="43" t="n">
        <v>15</v>
      </c>
      <c r="B18" s="43">
        <f>ROUNDUP(A18/4,0)</f>
        <v/>
      </c>
      <c r="C18" s="33">
        <f>G17</f>
        <v/>
      </c>
      <c r="D18" s="34">
        <f>IF(A18&gt;ROUND('Projections &amp; DSCR'!$B$20/3,0),$J$3,0)</f>
        <v/>
      </c>
      <c r="E18" s="33">
        <f>C18*'Projections &amp; DSCR'!$B$15/4</f>
        <v/>
      </c>
      <c r="F18" s="33">
        <f>MIN(D18,C18)</f>
        <v/>
      </c>
      <c r="G18" s="33">
        <f>C18-F18</f>
        <v/>
      </c>
      <c r="H18" s="28" t="n"/>
      <c r="I18" s="28" t="n"/>
      <c r="J18" s="28" t="n"/>
    </row>
    <row r="19">
      <c r="A19" s="43" t="n">
        <v>16</v>
      </c>
      <c r="B19" s="43">
        <f>ROUNDUP(A19/4,0)</f>
        <v/>
      </c>
      <c r="C19" s="33">
        <f>G18</f>
        <v/>
      </c>
      <c r="D19" s="34">
        <f>IF(A19&gt;ROUND('Projections &amp; DSCR'!$B$20/3,0),$J$3,0)</f>
        <v/>
      </c>
      <c r="E19" s="33">
        <f>C19*'Projections &amp; DSCR'!$B$15/4</f>
        <v/>
      </c>
      <c r="F19" s="33">
        <f>MIN(D19,C19)</f>
        <v/>
      </c>
      <c r="G19" s="33">
        <f>C19-F19</f>
        <v/>
      </c>
      <c r="H19" s="28" t="n"/>
      <c r="I19" s="28" t="n"/>
      <c r="J19" s="28" t="n"/>
    </row>
    <row r="20">
      <c r="A20" s="43" t="n">
        <v>17</v>
      </c>
      <c r="B20" s="43">
        <f>ROUNDUP(A20/4,0)</f>
        <v/>
      </c>
      <c r="C20" s="33">
        <f>G19</f>
        <v/>
      </c>
      <c r="D20" s="34">
        <f>IF(A20&gt;ROUND('Projections &amp; DSCR'!$B$20/3,0),$J$3,0)</f>
        <v/>
      </c>
      <c r="E20" s="33">
        <f>C20*'Projections &amp; DSCR'!$B$15/4</f>
        <v/>
      </c>
      <c r="F20" s="33">
        <f>MIN(D20,C20)</f>
        <v/>
      </c>
      <c r="G20" s="33">
        <f>C20-F20</f>
        <v/>
      </c>
      <c r="H20" s="28" t="n"/>
      <c r="I20" s="28" t="n"/>
      <c r="J20" s="28" t="n"/>
    </row>
    <row r="21">
      <c r="A21" s="43" t="n">
        <v>18</v>
      </c>
      <c r="B21" s="43">
        <f>ROUNDUP(A21/4,0)</f>
        <v/>
      </c>
      <c r="C21" s="33">
        <f>G20</f>
        <v/>
      </c>
      <c r="D21" s="34">
        <f>IF(A21&gt;ROUND('Projections &amp; DSCR'!$B$20/3,0),$J$3,0)</f>
        <v/>
      </c>
      <c r="E21" s="33">
        <f>C21*'Projections &amp; DSCR'!$B$15/4</f>
        <v/>
      </c>
      <c r="F21" s="33">
        <f>MIN(D21,C21)</f>
        <v/>
      </c>
      <c r="G21" s="33">
        <f>C21-F21</f>
        <v/>
      </c>
      <c r="H21" s="28" t="n"/>
      <c r="I21" s="28" t="n"/>
      <c r="J21" s="28" t="n"/>
    </row>
    <row r="22">
      <c r="A22" s="43" t="n">
        <v>19</v>
      </c>
      <c r="B22" s="43">
        <f>ROUNDUP(A22/4,0)</f>
        <v/>
      </c>
      <c r="C22" s="33">
        <f>G21</f>
        <v/>
      </c>
      <c r="D22" s="34">
        <f>IF(A22&gt;ROUND('Projections &amp; DSCR'!$B$20/3,0),$J$3,0)</f>
        <v/>
      </c>
      <c r="E22" s="33">
        <f>C22*'Projections &amp; DSCR'!$B$15/4</f>
        <v/>
      </c>
      <c r="F22" s="33">
        <f>MIN(D22,C22)</f>
        <v/>
      </c>
      <c r="G22" s="33">
        <f>C22-F22</f>
        <v/>
      </c>
      <c r="H22" s="28" t="n"/>
      <c r="I22" s="28" t="n"/>
      <c r="J22" s="28" t="n"/>
    </row>
    <row r="23">
      <c r="A23" s="43" t="n">
        <v>20</v>
      </c>
      <c r="B23" s="43">
        <f>ROUNDUP(A23/4,0)</f>
        <v/>
      </c>
      <c r="C23" s="33">
        <f>G22</f>
        <v/>
      </c>
      <c r="D23" s="34">
        <f>IF(A23&gt;ROUND('Projections &amp; DSCR'!$B$20/3,0),$J$3,0)</f>
        <v/>
      </c>
      <c r="E23" s="33">
        <f>C23*'Projections &amp; DSCR'!$B$15/4</f>
        <v/>
      </c>
      <c r="F23" s="33">
        <f>MIN(D23,C23)</f>
        <v/>
      </c>
      <c r="G23" s="33">
        <f>C23-F23</f>
        <v/>
      </c>
      <c r="H23" s="28" t="n"/>
      <c r="I23" s="28" t="n"/>
      <c r="J23" s="2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</cols>
  <sheetData>
    <row r="1">
      <c r="A1" s="1" t="inlineStr">
        <is>
          <t>Scenario analysis over the projection period</t>
        </is>
      </c>
    </row>
    <row r="2">
      <c r="A2" s="2" t="inlineStr">
        <is>
          <t>Each scenario flexes growth, EBITDA margin and interest rates together.</t>
        </is>
      </c>
    </row>
    <row r="3">
      <c r="A3" s="3" t="inlineStr">
        <is>
          <t>Scenario</t>
        </is>
      </c>
      <c r="B3" s="3" t="inlineStr">
        <is>
          <t>Growth</t>
        </is>
      </c>
      <c r="C3" s="3" t="inlineStr">
        <is>
          <t>Margin shift</t>
        </is>
      </c>
      <c r="D3" s="3" t="inlineStr">
        <is>
          <t>Rate shift</t>
        </is>
      </c>
      <c r="E3" s="3" t="inlineStr">
        <is>
          <t>Avg DSCR</t>
        </is>
      </c>
      <c r="F3" s="3" t="inlineStr">
        <is>
          <t>Min DSCR</t>
        </is>
      </c>
      <c r="G3" s="3" t="inlineStr">
        <is>
          <t>Y+1 ICR</t>
        </is>
      </c>
      <c r="H3" s="3" t="inlineStr">
        <is>
          <t>Cum. surplus ₹ Cr</t>
        </is>
      </c>
    </row>
    <row r="4">
      <c r="A4" s="29" t="inlineStr">
        <is>
          <t>Base case</t>
        </is>
      </c>
      <c r="B4" s="44" t="n">
        <v>0.08000000000000007</v>
      </c>
      <c r="C4" s="44" t="n">
        <v>0</v>
      </c>
      <c r="D4" s="44" t="n">
        <v>0</v>
      </c>
      <c r="E4" s="36" t="n">
        <v>2.207648957343507</v>
      </c>
      <c r="F4" s="36" t="n">
        <v>1.447915176621938</v>
      </c>
      <c r="G4" s="36" t="n">
        <v>3.303758271477837</v>
      </c>
      <c r="H4" s="33" t="n">
        <v>603.2234982938867</v>
      </c>
    </row>
    <row r="5">
      <c r="A5" s="29" t="inlineStr">
        <is>
          <t>Upside</t>
        </is>
      </c>
      <c r="B5" s="44" t="n">
        <v>0.1300000000000001</v>
      </c>
      <c r="C5" s="44" t="n">
        <v>0.01</v>
      </c>
      <c r="D5" s="44" t="n">
        <v>0</v>
      </c>
      <c r="E5" s="36" t="n">
        <v>2.695749759349638</v>
      </c>
      <c r="F5" s="36" t="n">
        <v>1.598258377741813</v>
      </c>
      <c r="G5" s="36" t="n">
        <v>3.697662248988486</v>
      </c>
      <c r="H5" s="33" t="n">
        <v>847.0309984087078</v>
      </c>
    </row>
    <row r="6">
      <c r="A6" s="29" t="inlineStr">
        <is>
          <t>Downside</t>
        </is>
      </c>
      <c r="B6" s="44" t="n">
        <v>-0.01999999999999993</v>
      </c>
      <c r="C6" s="44" t="n">
        <v>-0.02</v>
      </c>
      <c r="D6" s="44" t="n">
        <v>0.01</v>
      </c>
      <c r="E6" s="36" t="n">
        <v>1.409021712499974</v>
      </c>
      <c r="F6" s="36" t="n">
        <v>1.125355662095401</v>
      </c>
      <c r="G6" s="36" t="n">
        <v>2.325028470901897</v>
      </c>
      <c r="H6" s="33" t="n">
        <v>207.8862486538841</v>
      </c>
    </row>
    <row r="7">
      <c r="A7" s="29" t="inlineStr">
        <is>
          <t>Severe stress</t>
        </is>
      </c>
      <c r="B7" s="44" t="n">
        <v>-0.1</v>
      </c>
      <c r="C7" s="44" t="n">
        <v>-0.04</v>
      </c>
      <c r="D7" s="44" t="n">
        <v>0.02</v>
      </c>
      <c r="E7" s="36" t="n">
        <v>0.918983326830583</v>
      </c>
      <c r="F7" s="36" t="n">
        <v>0.7329202834201853</v>
      </c>
      <c r="G7" s="36" t="n">
        <v>1.627876733720055</v>
      </c>
      <c r="H7" s="33" t="n">
        <v>-41.8858108287247</v>
      </c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</row>
    <row r="9">
      <c r="A9" s="45" t="inlineStr">
        <is>
          <t>Break-even: maximum uniform fall in projected EBITDA with minimum DSCR &gt;= 1.00x</t>
        </is>
      </c>
      <c r="B9" s="28" t="n"/>
      <c r="C9" s="28" t="n"/>
      <c r="D9" s="28" t="n"/>
      <c r="E9" s="28" t="n"/>
      <c r="F9" s="46" t="n">
        <v>0.3208967721154748</v>
      </c>
      <c r="G9" s="28" t="n"/>
      <c r="H9" s="28" t="n"/>
    </row>
  </sheetData>
  <conditionalFormatting sqref="F4:F7">
    <cfRule type="cellIs" priority="1" operator="greaterThanOrEqual" dxfId="0">
      <formula>1.1</formula>
    </cfRule>
    <cfRule type="cellIs" priority="2" operator="lessThan" dxfId="1">
      <formula>1.0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Working-capital assessment (₹ Cr)</t>
        </is>
      </c>
    </row>
    <row r="2">
      <c r="A2" s="2" t="inlineStr">
        <is>
          <t>Projected turnover ₹1,458.00 Cr; growth 8.0%.</t>
        </is>
      </c>
    </row>
    <row r="3">
      <c r="A3" s="3" t="inlineStr">
        <is>
          <t>Particulars</t>
        </is>
      </c>
      <c r="B3" s="3" t="inlineStr">
        <is>
          <t>Tandon Method I</t>
        </is>
      </c>
      <c r="C3" s="3" t="inlineStr">
        <is>
          <t>Tandon Method II</t>
        </is>
      </c>
      <c r="D3" s="3" t="inlineStr">
        <is>
          <t>Turnover method</t>
        </is>
      </c>
    </row>
    <row r="4">
      <c r="A4" s="29" t="inlineStr">
        <is>
          <t>Total current assets (A)</t>
        </is>
      </c>
      <c r="B4" s="33" t="n">
        <v>688</v>
      </c>
      <c r="C4" s="33" t="n">
        <v>688</v>
      </c>
      <c r="D4" s="29" t="inlineStr">
        <is>
          <t>-</t>
        </is>
      </c>
    </row>
    <row r="5">
      <c r="A5" s="47" t="inlineStr">
        <is>
          <t>Other current liabilities excl. bank borrowings (B)</t>
        </is>
      </c>
      <c r="B5" s="33" t="n">
        <v>283</v>
      </c>
      <c r="C5" s="33" t="n">
        <v>283</v>
      </c>
      <c r="D5" s="29" t="inlineStr">
        <is>
          <t>-</t>
        </is>
      </c>
    </row>
    <row r="6">
      <c r="A6" s="29" t="inlineStr">
        <is>
          <t>Working-capital gap (A - B)</t>
        </is>
      </c>
      <c r="B6" s="33" t="n">
        <v>405</v>
      </c>
      <c r="C6" s="33" t="n">
        <v>405</v>
      </c>
      <c r="D6" s="33" t="n">
        <v>364.5</v>
      </c>
    </row>
    <row r="7">
      <c r="A7" s="29" t="inlineStr">
        <is>
          <t>Minimum borrower margin</t>
        </is>
      </c>
      <c r="B7" s="33" t="n">
        <v>101.25</v>
      </c>
      <c r="C7" s="33" t="n">
        <v>172</v>
      </c>
      <c r="D7" s="33" t="n">
        <v>72.90000000000001</v>
      </c>
    </row>
    <row r="8">
      <c r="A8" s="29" t="inlineStr">
        <is>
          <t>Maximum permissible bank finance</t>
        </is>
      </c>
      <c r="B8" s="33" t="n">
        <v>303.75</v>
      </c>
      <c r="C8" s="33" t="n">
        <v>233</v>
      </c>
      <c r="D8" s="33" t="n">
        <v>291.6</v>
      </c>
    </row>
    <row r="9">
      <c r="A9" s="35" t="inlineStr">
        <is>
          <t>Requested / existing WC limit</t>
        </is>
      </c>
      <c r="B9" s="28" t="n"/>
      <c r="C9" s="48" t="n">
        <v>60</v>
      </c>
      <c r="D9" s="28" t="n"/>
    </row>
    <row r="10">
      <c r="A10" s="35" t="inlineStr">
        <is>
          <t>Assessed eligibility</t>
        </is>
      </c>
      <c r="B10" s="28" t="n"/>
      <c r="C10" s="48" t="n">
        <v>233</v>
      </c>
      <c r="D10" s="28" t="n"/>
    </row>
    <row r="11">
      <c r="A11" s="35" t="inlineStr">
        <is>
          <t>Headroom / (excess)</t>
        </is>
      </c>
      <c r="B11" s="28" t="n"/>
      <c r="C11" s="48" t="n">
        <v>173</v>
      </c>
      <c r="D11" s="28" t="n"/>
    </row>
    <row r="12">
      <c r="A12" s="28" t="n"/>
      <c r="B12" s="28" t="n"/>
      <c r="C12" s="28" t="n"/>
      <c r="D12" s="28" t="n"/>
    </row>
    <row r="13">
      <c r="A13" s="28" t="n"/>
      <c r="B13" s="28" t="n"/>
      <c r="C13" s="28" t="n"/>
      <c r="D13" s="28" t="n"/>
    </row>
    <row r="14">
      <c r="A14" s="3" t="inlineStr">
        <is>
          <t>Drawing power</t>
        </is>
      </c>
      <c r="B14" s="3" t="inlineStr">
        <is>
          <t>₹ Cr</t>
        </is>
      </c>
      <c r="C14" s="28" t="n"/>
      <c r="D14" s="28" t="n"/>
    </row>
    <row r="15">
      <c r="A15" s="29" t="inlineStr">
        <is>
          <t>Inventory</t>
        </is>
      </c>
      <c r="B15" s="33" t="n">
        <v>210</v>
      </c>
      <c r="C15" s="28" t="n"/>
      <c r="D15" s="28" t="n"/>
    </row>
    <row r="16">
      <c r="A16" s="29" t="inlineStr">
        <is>
          <t>Less: trade creditors (unpaid stock)</t>
        </is>
      </c>
      <c r="B16" s="33" t="n">
        <v>210</v>
      </c>
      <c r="C16" s="28" t="n"/>
      <c r="D16" s="28" t="n"/>
    </row>
    <row r="17">
      <c r="A17" s="29" t="inlineStr">
        <is>
          <t>Paid stock</t>
        </is>
      </c>
      <c r="B17" s="33" t="n">
        <v>0</v>
      </c>
      <c r="C17" s="28" t="n"/>
      <c r="D17" s="28" t="n"/>
    </row>
    <row r="18">
      <c r="A18" s="29" t="inlineStr">
        <is>
          <t>Less: margin 25%</t>
        </is>
      </c>
      <c r="B18" s="33" t="n">
        <v>0</v>
      </c>
      <c r="C18" s="28" t="n"/>
      <c r="D18" s="28" t="n"/>
    </row>
    <row r="19">
      <c r="A19" s="29" t="inlineStr">
        <is>
          <t>DP on stock (a)</t>
        </is>
      </c>
      <c r="B19" s="33" t="n">
        <v>0</v>
      </c>
      <c r="C19" s="28" t="n"/>
      <c r="D19" s="28" t="n"/>
    </row>
    <row r="20">
      <c r="A20" s="29" t="inlineStr">
        <is>
          <t>Trade receivables</t>
        </is>
      </c>
      <c r="B20" s="33" t="n">
        <v>290</v>
      </c>
      <c r="C20" s="28" t="n"/>
      <c r="D20" s="28" t="n"/>
    </row>
    <row r="21">
      <c r="A21" s="47" t="inlineStr">
        <is>
          <t>Eligible receivables (&lt; 90 days, assumed 85%)</t>
        </is>
      </c>
      <c r="B21" s="33" t="n">
        <v>246.5</v>
      </c>
      <c r="C21" s="28" t="n"/>
      <c r="D21" s="28" t="n"/>
    </row>
    <row r="22">
      <c r="A22" s="29" t="inlineStr">
        <is>
          <t>Less: margin 40%</t>
        </is>
      </c>
      <c r="B22" s="33" t="n">
        <v>98.60000000000001</v>
      </c>
      <c r="C22" s="28" t="n"/>
      <c r="D22" s="28" t="n"/>
    </row>
    <row r="23">
      <c r="A23" s="29" t="inlineStr">
        <is>
          <t>DP on receivables (b)</t>
        </is>
      </c>
      <c r="B23" s="33" t="n">
        <v>147.9</v>
      </c>
      <c r="C23" s="28" t="n"/>
      <c r="D23" s="28" t="n"/>
    </row>
    <row r="24">
      <c r="A24" s="29" t="inlineStr">
        <is>
          <t>Drawing power (a + b)</t>
        </is>
      </c>
      <c r="B24" s="33" t="n">
        <v>147.9</v>
      </c>
      <c r="C24" s="28" t="n"/>
      <c r="D24" s="28" t="n"/>
    </row>
    <row r="25">
      <c r="A25" s="29" t="inlineStr">
        <is>
          <t>Sanctioned / proposed CC limit</t>
        </is>
      </c>
      <c r="B25" s="33" t="n">
        <v>60</v>
      </c>
      <c r="C25" s="28" t="n"/>
      <c r="D25" s="28" t="n"/>
    </row>
    <row r="26">
      <c r="A26" s="29" t="inlineStr">
        <is>
          <t>Available DP = lower of DP and limit</t>
        </is>
      </c>
      <c r="B26" s="33" t="n">
        <v>60</v>
      </c>
      <c r="C26" s="28" t="n"/>
      <c r="D26" s="2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>
      <c r="A1" s="1" t="inlineStr">
        <is>
          <t>Security cover and risk-based pricing</t>
        </is>
      </c>
    </row>
    <row r="2">
      <c r="A2" s="2" t="inlineStr">
        <is>
          <t>PD scale, haircuts, cost of funds and capital ratio are illustrative - replace with the bank's policy.</t>
        </is>
      </c>
    </row>
    <row r="3">
      <c r="A3" s="3" t="inlineStr">
        <is>
          <t>Security</t>
        </is>
      </c>
      <c r="B3" s="3" t="inlineStr">
        <is>
          <t>₹ Cr</t>
        </is>
      </c>
    </row>
    <row r="4">
      <c r="A4" s="47" t="inlineStr">
        <is>
          <t>Current assets (stock + receivables) - primary for CC</t>
        </is>
      </c>
      <c r="B4" s="33" t="n">
        <v>500</v>
      </c>
    </row>
    <row r="5">
      <c r="A5" s="47" t="inlineStr">
        <is>
          <t>Net fixed assets incl. CWIP - primary for TL</t>
        </is>
      </c>
      <c r="B5" s="33" t="n">
        <v>515</v>
      </c>
    </row>
    <row r="6">
      <c r="A6" s="47" t="inlineStr">
        <is>
          <t>Collateral (Immovable property) - market value</t>
        </is>
      </c>
      <c r="B6" s="33" t="n">
        <v>80</v>
      </c>
    </row>
    <row r="7">
      <c r="A7" s="29" t="inlineStr">
        <is>
          <t>Total security available</t>
        </is>
      </c>
      <c r="B7" s="33" t="n">
        <v>1095</v>
      </c>
    </row>
    <row r="8">
      <c r="A8" s="29" t="inlineStr">
        <is>
          <t>Proposed exposure (fund + non-fund)</t>
        </is>
      </c>
      <c r="B8" s="33" t="n">
        <v>110</v>
      </c>
    </row>
    <row r="9">
      <c r="A9" s="47" t="inlineStr">
        <is>
          <t>Total debt incl. existing lenders (security shared pari-passu)</t>
        </is>
      </c>
      <c r="B9" s="33" t="n">
        <v>800</v>
      </c>
    </row>
    <row r="10">
      <c r="A10" s="29" t="inlineStr">
        <is>
          <t>Security cover (x)</t>
        </is>
      </c>
      <c r="B10" s="36" t="n">
        <v>1.36875</v>
      </c>
    </row>
    <row r="11">
      <c r="A11" s="29" t="inlineStr">
        <is>
          <t>Fixed-asset coverage ratio (x)</t>
        </is>
      </c>
      <c r="B11" s="36" t="n">
        <v>1.321428571428571</v>
      </c>
    </row>
    <row r="12">
      <c r="A12" s="28" t="n"/>
      <c r="B12" s="28" t="n"/>
    </row>
    <row r="13">
      <c r="A13" s="3" t="inlineStr">
        <is>
          <t>Pricing component</t>
        </is>
      </c>
      <c r="B13" s="3" t="inlineStr">
        <is>
          <t>Value</t>
        </is>
      </c>
    </row>
    <row r="14">
      <c r="A14" s="29" t="inlineStr">
        <is>
          <t>Internal grade</t>
        </is>
      </c>
      <c r="B14" s="29" t="inlineStr">
        <is>
          <t>CI-5</t>
        </is>
      </c>
    </row>
    <row r="15">
      <c r="A15" s="47" t="inlineStr">
        <is>
          <t>Probability of default (1-yr, illustrative master scale)</t>
        </is>
      </c>
      <c r="B15" s="29" t="inlineStr">
        <is>
          <t>5.00%</t>
        </is>
      </c>
    </row>
    <row r="16">
      <c r="A16" s="47" t="inlineStr">
        <is>
          <t>Exposure at default (non-fund at CCF 50%)</t>
        </is>
      </c>
      <c r="B16" s="29" t="inlineStr">
        <is>
          <t>₹105.00 Cr</t>
        </is>
      </c>
    </row>
    <row r="17">
      <c r="A17" s="29" t="inlineStr">
        <is>
          <t>Realisable security (after 40% haircut)</t>
        </is>
      </c>
      <c r="B17" s="29" t="inlineStr">
        <is>
          <t>₹131.74 Cr</t>
        </is>
      </c>
    </row>
    <row r="18">
      <c r="A18" s="29" t="inlineStr">
        <is>
          <t>Loss given default</t>
        </is>
      </c>
      <c r="B18" s="29" t="inlineStr">
        <is>
          <t>10.0%</t>
        </is>
      </c>
    </row>
    <row r="19">
      <c r="A19" s="29" t="inlineStr">
        <is>
          <t>Expected loss (PD x LGD x EAD)</t>
        </is>
      </c>
      <c r="B19" s="29" t="inlineStr">
        <is>
          <t>₹0.525 Cr  (0.50% p.a.)</t>
        </is>
      </c>
    </row>
    <row r="20">
      <c r="A20" s="29" t="inlineStr">
        <is>
          <t>Capital required (11.5% x RW 100%)</t>
        </is>
      </c>
      <c r="B20" s="29" t="inlineStr">
        <is>
          <t>₹12.08 Cr</t>
        </is>
      </c>
    </row>
    <row r="21">
      <c r="A21" s="29" t="inlineStr">
        <is>
          <t>Cost of funds + operating cost</t>
        </is>
      </c>
      <c r="B21" s="29" t="inlineStr">
        <is>
          <t>7.25%</t>
        </is>
      </c>
    </row>
    <row r="22">
      <c r="A22" s="29" t="inlineStr">
        <is>
          <t>Cost of capital charge</t>
        </is>
      </c>
      <c r="B22" s="29" t="inlineStr">
        <is>
          <t>0.98%</t>
        </is>
      </c>
    </row>
    <row r="23">
      <c r="A23" s="29" t="inlineStr">
        <is>
          <t>Risk-based hurdle rate</t>
        </is>
      </c>
      <c r="B23" s="29" t="inlineStr">
        <is>
          <t>8.73%</t>
        </is>
      </c>
    </row>
    <row r="24">
      <c r="A24" s="29" t="inlineStr">
        <is>
          <t>Minimum price (not below benchmark)</t>
        </is>
      </c>
      <c r="B24" s="29" t="inlineStr">
        <is>
          <t>9.00%  (benchmark 9.00% + 0 bp)</t>
        </is>
      </c>
    </row>
    <row r="25">
      <c r="A25" s="29" t="inlineStr">
        <is>
          <t>Proposed rate</t>
        </is>
      </c>
      <c r="B25" s="29" t="inlineStr">
        <is>
          <t>9.50%</t>
        </is>
      </c>
    </row>
    <row r="26">
      <c r="A26" s="29" t="inlineStr">
        <is>
          <t>RAROC at proposed rate</t>
        </is>
      </c>
      <c r="B26" s="29" t="inlineStr">
        <is>
          <t>21.7%  (target 15%)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70" customWidth="1" min="3" max="3"/>
  </cols>
  <sheetData>
    <row r="1">
      <c r="A1" s="1" t="inlineStr">
        <is>
          <t>RBI early-warning signals - 6 triggered</t>
        </is>
      </c>
    </row>
    <row r="2">
      <c r="A2" s="2" t="inlineStr">
        <is>
          <t>Multiple EWS triggered - the RBI framework requires the account to be examined for Red-Flagging (RFA) and a decision within the prescribed timeline; consider a forensic audit before any fresh exposure.</t>
        </is>
      </c>
    </row>
    <row r="3">
      <c r="A3" s="3" t="inlineStr">
        <is>
          <t>Early-warning signal</t>
        </is>
      </c>
      <c r="B3" s="3" t="inlineStr">
        <is>
          <t>Status</t>
        </is>
      </c>
      <c r="C3" s="3" t="inlineStr">
        <is>
          <t>Basis</t>
        </is>
      </c>
    </row>
    <row r="4">
      <c r="A4" s="47" t="inlineStr">
        <is>
          <t>Default in undisputed statutory dues / delay in payment to lenders</t>
        </is>
      </c>
      <c r="B4" s="29" t="inlineStr">
        <is>
          <t>Triggered</t>
        </is>
      </c>
      <c r="C4" s="29" t="inlineStr">
        <is>
          <t>CARO: delay in statutory dues</t>
        </is>
      </c>
    </row>
    <row r="5">
      <c r="A5" s="47" t="inlineStr">
        <is>
          <t>Diversion of funds / end-use not established</t>
        </is>
      </c>
      <c r="B5" s="29" t="inlineStr">
        <is>
          <t>Triggered</t>
        </is>
      </c>
      <c r="C5" s="47" t="inlineStr">
        <is>
          <t>Borrowed funds not visibly deployed in business (end-use gap); Sharp rise in loans &amp; advances given</t>
        </is>
      </c>
    </row>
    <row r="6">
      <c r="A6" s="47" t="inlineStr">
        <is>
          <t>Substantial related-party transactions / funds to group entities</t>
        </is>
      </c>
      <c r="B6" s="29" t="inlineStr">
        <is>
          <t>Not observed</t>
        </is>
      </c>
      <c r="C6" s="47" t="inlineStr">
        <is>
          <t>No indication in the financial statements</t>
        </is>
      </c>
    </row>
    <row r="7">
      <c r="A7" s="47" t="inlineStr">
        <is>
          <t>Receivables disproportionate to sales / stretched debtors</t>
        </is>
      </c>
      <c r="B7" s="29" t="inlineStr">
        <is>
          <t>Triggered</t>
        </is>
      </c>
      <c r="C7" s="47" t="inlineStr">
        <is>
          <t>Receivables growing much faster than revenue</t>
        </is>
      </c>
    </row>
    <row r="8">
      <c r="A8" s="47" t="inlineStr">
        <is>
          <t>Inventory build-up / stock not commensurate with turnover</t>
        </is>
      </c>
      <c r="B8" s="29" t="inlineStr">
        <is>
          <t>Not observed</t>
        </is>
      </c>
      <c r="C8" s="47" t="inlineStr">
        <is>
          <t>No indication in the financial statements</t>
        </is>
      </c>
    </row>
    <row r="9">
      <c r="A9" s="47" t="inlineStr">
        <is>
          <t>Frequent change in project scope / delay in implementation (CWIP)</t>
        </is>
      </c>
      <c r="B9" s="29" t="inlineStr">
        <is>
          <t>Not observed</t>
        </is>
      </c>
      <c r="C9" s="47" t="inlineStr">
        <is>
          <t>No indication in the financial statements</t>
        </is>
      </c>
    </row>
    <row r="10">
      <c r="A10" s="47" t="inlineStr">
        <is>
          <t>Critical remarks by statutory auditor / qualification / CARO</t>
        </is>
      </c>
      <c r="B10" s="29" t="inlineStr">
        <is>
          <t>Triggered</t>
        </is>
      </c>
      <c r="C10" s="47" t="inlineStr">
        <is>
          <t>Emphasis of matter in audit report; CARO: short-term funds used for long-term purposes; CARO: loans without repayment terms</t>
        </is>
      </c>
    </row>
    <row r="11">
      <c r="A11" s="47" t="inlineStr">
        <is>
          <t>Large contingent or off-balance-sheet liabilities</t>
        </is>
      </c>
      <c r="B11" s="29" t="inlineStr">
        <is>
          <t>Triggered</t>
        </is>
      </c>
      <c r="C11" s="29" t="inlineStr">
        <is>
          <t>Corporate guarantees given</t>
        </is>
      </c>
    </row>
    <row r="12">
      <c r="A12" s="47" t="inlineStr">
        <is>
          <t>Cash-rich yet borrowing / low yield on liquid funds (possible fictitious cash)</t>
        </is>
      </c>
      <c r="B12" s="29" t="inlineStr">
        <is>
          <t>Not observed</t>
        </is>
      </c>
      <c r="C12" s="47" t="inlineStr">
        <is>
          <t>No indication in the financial statements</t>
        </is>
      </c>
    </row>
    <row r="13">
      <c r="A13" s="47" t="inlineStr">
        <is>
          <t>Manipulation indicators (Beneish / accrual-heavy profits)</t>
        </is>
      </c>
      <c r="B13" s="29" t="inlineStr">
        <is>
          <t>Triggered</t>
        </is>
      </c>
      <c r="C13" s="47" t="inlineStr">
        <is>
          <t>Revenue up but operating cash flow down; Beneish M-score indicates possible earnings manipulation</t>
        </is>
      </c>
    </row>
    <row r="14">
      <c r="A14" s="47" t="inlineStr">
        <is>
          <t>High promoter pledge / reduction in promoter stake</t>
        </is>
      </c>
      <c r="B14" s="29" t="inlineStr">
        <is>
          <t>Bank data needed</t>
        </is>
      </c>
      <c r="C14" s="29" t="inlineStr">
        <is>
          <t>Shareholding pattern / NSDL data</t>
        </is>
      </c>
    </row>
    <row r="15">
      <c r="A15" s="47" t="inlineStr">
        <is>
          <t>Erosion of net worth / negative tangible net worth</t>
        </is>
      </c>
      <c r="B15" s="29" t="inlineStr">
        <is>
          <t>Not observed</t>
        </is>
      </c>
      <c r="C15" s="29" t="inlineStr">
        <is>
          <t>TNW ₹462.00 Cr; PAT margin 8.2%</t>
        </is>
      </c>
    </row>
    <row r="16">
      <c r="A16" s="47" t="inlineStr">
        <is>
          <t>Rating downgrade / resignation of auditor or key personnel / regulatory action (news)</t>
        </is>
      </c>
      <c r="B16" s="29" t="inlineStr">
        <is>
          <t>Bank data needed</t>
        </is>
      </c>
      <c r="C16" s="29" t="inlineStr">
        <is>
          <t>News not scanned</t>
        </is>
      </c>
    </row>
    <row r="17">
      <c r="A17" s="47" t="inlineStr">
        <is>
          <t>Delay in submission of stock statements / financial data</t>
        </is>
      </c>
      <c r="B17" s="29" t="inlineStr">
        <is>
          <t>Bank data needed</t>
        </is>
      </c>
      <c r="C17" s="29" t="inlineStr">
        <is>
          <t>Confirm from account monitoring</t>
        </is>
      </c>
    </row>
    <row r="18">
      <c r="A18" s="47" t="inlineStr">
        <is>
          <t>Bouncing of high-value cheques / devolvement of LC / invocation of BG</t>
        </is>
      </c>
      <c r="B18" s="29" t="inlineStr">
        <is>
          <t>Bank data needed</t>
        </is>
      </c>
      <c r="C18" s="29" t="inlineStr">
        <is>
          <t>12-month bank statement analysis</t>
        </is>
      </c>
    </row>
    <row r="19">
      <c r="A19" s="47" t="inlineStr">
        <is>
          <t>Frequent ad hoc / persistent overdrawing of limits</t>
        </is>
      </c>
      <c r="B19" s="29" t="inlineStr">
        <is>
          <t>Bank data needed</t>
        </is>
      </c>
      <c r="C19" s="29" t="inlineStr">
        <is>
          <t>CBS / account conduct</t>
        </is>
      </c>
    </row>
    <row r="20">
      <c r="A20" s="47" t="inlineStr">
        <is>
          <t>Heavy cash withdrawals / non-routing of sales through lending bank</t>
        </is>
      </c>
      <c r="B20" s="29" t="inlineStr">
        <is>
          <t>Bank data needed</t>
        </is>
      </c>
      <c r="C20" s="47" t="inlineStr">
        <is>
          <t>Compare credit summation with sales; GST turnover</t>
        </is>
      </c>
    </row>
    <row r="21">
      <c r="A21" s="47" t="inlineStr">
        <is>
          <t>Charges in ROC / CRILC not reflected in books (hidden borrowings)</t>
        </is>
      </c>
      <c r="B21" s="29" t="inlineStr">
        <is>
          <t>Bank data needed</t>
        </is>
      </c>
      <c r="C21" s="47" t="inlineStr">
        <is>
          <t>MCA charge search vs. borrowings in balance sheet</t>
        </is>
      </c>
    </row>
    <row r="22">
      <c r="A22" s="29" t="inlineStr">
        <is>
          <t>Overdue / irregular account (SMA status)</t>
        </is>
      </c>
      <c r="B22" s="29" t="inlineStr">
        <is>
          <t>Not observed</t>
        </is>
      </c>
      <c r="C22" s="29" t="inlineStr">
        <is>
          <t>Standard - no overdues</t>
        </is>
      </c>
    </row>
    <row r="23">
      <c r="A23" s="28" t="n"/>
      <c r="B23" s="28" t="n"/>
      <c r="C23" s="28" t="n"/>
    </row>
    <row r="24">
      <c r="A24" s="28" t="n"/>
      <c r="B24" s="28" t="n"/>
      <c r="C24" s="28" t="n"/>
    </row>
    <row r="25">
      <c r="A25" s="3" t="inlineStr">
        <is>
          <t>Regulatory check</t>
        </is>
      </c>
      <c r="B25" s="3" t="inlineStr">
        <is>
          <t>Position</t>
        </is>
      </c>
      <c r="C25" s="3" t="inlineStr">
        <is>
          <t>Result</t>
        </is>
      </c>
    </row>
    <row r="26">
      <c r="A26" s="47" t="inlineStr">
        <is>
          <t>Large Exposures Framework (single 20% / group 25% of Tier-1)</t>
        </is>
      </c>
      <c r="B26" s="29" t="inlineStr">
        <is>
          <t>n.a.</t>
        </is>
      </c>
      <c r="C26" s="29" t="inlineStr">
        <is>
          <t>Enter bank Tier-1 capital to test</t>
        </is>
      </c>
    </row>
    <row r="27">
      <c r="A27" s="29" t="inlineStr">
        <is>
          <t>Asset classification (IRACP)</t>
        </is>
      </c>
      <c r="B27" s="29" t="inlineStr">
        <is>
          <t>Standard - no overdues</t>
        </is>
      </c>
      <c r="C27" s="29" t="inlineStr">
        <is>
          <t>Standard</t>
        </is>
      </c>
    </row>
    <row r="28">
      <c r="A28" s="29" t="inlineStr">
        <is>
          <t>Unhedged foreign-currency exposure</t>
        </is>
      </c>
      <c r="B28" s="29" t="inlineStr">
        <is>
          <t>Bank data needed</t>
        </is>
      </c>
      <c r="C28" s="47" t="inlineStr">
        <is>
          <t>Obtain UFCE certificate (incremental provisioning / capital)</t>
        </is>
      </c>
    </row>
    <row r="29">
      <c r="A29" s="47" t="inlineStr">
        <is>
          <t>Wilful defaulter / CRILC / CIBIL screening</t>
        </is>
      </c>
      <c r="B29" s="29" t="inlineStr">
        <is>
          <t>Bank data needed</t>
        </is>
      </c>
      <c r="C29" s="29" t="inlineStr">
        <is>
          <t>Mandatory before sanction</t>
        </is>
      </c>
    </row>
    <row r="30">
      <c r="A30" s="47" t="inlineStr">
        <is>
          <t>Minimum promoter margin on working capital</t>
        </is>
      </c>
      <c r="B30" s="29" t="inlineStr">
        <is>
          <t>1.18x current ratio</t>
        </is>
      </c>
      <c r="C30" s="29" t="inlineStr">
        <is>
          <t>Below 1.25x - check margin compliance</t>
        </is>
      </c>
    </row>
  </sheetData>
  <conditionalFormatting sqref="B4:B23">
    <cfRule type="cellIs" priority="1" operator="equal" dxfId="1">
      <formula>"Triggered"</formula>
    </cfRule>
    <cfRule type="cellIs" priority="2" operator="equal" dxfId="0">
      <formula>"Not observed"</formula>
    </cfRule>
    <cfRule type="cellIs" priority="3" operator="equal" dxfId="2">
      <formula>"Bank data needed"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52" customWidth="1" min="3" max="3"/>
    <col width="15" customWidth="1" min="4" max="4"/>
  </cols>
  <sheetData>
    <row r="1">
      <c r="A1" s="1" t="inlineStr">
        <is>
          <t>CMA-format analysis (audited years)</t>
        </is>
      </c>
    </row>
    <row r="2">
      <c r="A2" s="2" t="inlineStr">
        <is>
          <t>Forms II (operating statement), III (balance sheet analysis), IV (holding levels) and VI (fund flow).</t>
        </is>
      </c>
    </row>
    <row r="3">
      <c r="A3" s="49" t="inlineStr">
        <is>
          <t>FORM II - Operating statement</t>
        </is>
      </c>
      <c r="B3" s="28" t="n"/>
      <c r="C3" s="28" t="n"/>
      <c r="D3" s="28" t="n"/>
    </row>
    <row r="4">
      <c r="A4" s="3" t="inlineStr">
        <is>
          <t>Particulars (₹ Cr)</t>
        </is>
      </c>
      <c r="B4" s="3" t="inlineStr">
        <is>
          <t>FY2024</t>
        </is>
      </c>
      <c r="C4" s="3" t="inlineStr">
        <is>
          <t>FY2025</t>
        </is>
      </c>
      <c r="D4" s="28" t="n"/>
    </row>
    <row r="5">
      <c r="A5" s="29" t="inlineStr">
        <is>
          <t>Net sales (revenue from operations)</t>
        </is>
      </c>
      <c r="B5" s="33" t="n">
        <v>1250</v>
      </c>
      <c r="C5" s="33" t="n">
        <v>1350</v>
      </c>
      <c r="D5" s="28" t="n"/>
    </row>
    <row r="6">
      <c r="A6" s="29" t="inlineStr">
        <is>
          <t>% rise / (fall) in net sales</t>
        </is>
      </c>
      <c r="B6" s="29" t="inlineStr">
        <is>
          <t>-</t>
        </is>
      </c>
      <c r="C6" s="44" t="n">
        <v>0.08000000000000007</v>
      </c>
      <c r="D6" s="28" t="n"/>
    </row>
    <row r="7">
      <c r="A7" s="47" t="inlineStr">
        <is>
          <t>Cost of sales (materials + traded goods + change in stock)</t>
        </is>
      </c>
      <c r="B7" s="33" t="n">
        <v>785</v>
      </c>
      <c r="C7" s="33" t="n">
        <v>840</v>
      </c>
      <c r="D7" s="28" t="n"/>
    </row>
    <row r="8">
      <c r="A8" s="29" t="inlineStr">
        <is>
          <t>Employee cost</t>
        </is>
      </c>
      <c r="B8" s="33" t="n">
        <v>88</v>
      </c>
      <c r="C8" s="33" t="n">
        <v>95</v>
      </c>
      <c r="D8" s="28" t="n"/>
    </row>
    <row r="9">
      <c r="A9" s="29" t="inlineStr">
        <is>
          <t>Other operating expenses</t>
        </is>
      </c>
      <c r="B9" s="33" t="n">
        <v>170</v>
      </c>
      <c r="C9" s="33" t="n">
        <v>185</v>
      </c>
      <c r="D9" s="28" t="n"/>
    </row>
    <row r="10">
      <c r="A10" s="47" t="inlineStr">
        <is>
          <t>Operating profit before interest &amp; depreciation (EBITDA)</t>
        </is>
      </c>
      <c r="B10" s="33" t="n">
        <v>207</v>
      </c>
      <c r="C10" s="33" t="n">
        <v>230</v>
      </c>
      <c r="D10" s="28" t="n"/>
    </row>
    <row r="11">
      <c r="A11" s="29" t="inlineStr">
        <is>
          <t>Depreciation</t>
        </is>
      </c>
      <c r="B11" s="33" t="n">
        <v>36</v>
      </c>
      <c r="C11" s="33" t="n">
        <v>38</v>
      </c>
      <c r="D11" s="28" t="n"/>
    </row>
    <row r="12">
      <c r="A12" s="29" t="inlineStr">
        <is>
          <t>Interest</t>
        </is>
      </c>
      <c r="B12" s="33" t="n">
        <v>45</v>
      </c>
      <c r="C12" s="33" t="n">
        <v>62</v>
      </c>
      <c r="D12" s="28" t="n"/>
    </row>
    <row r="13">
      <c r="A13" s="29" t="inlineStr">
        <is>
          <t>Other income</t>
        </is>
      </c>
      <c r="B13" s="33" t="n">
        <v>12</v>
      </c>
      <c r="C13" s="33" t="n">
        <v>18</v>
      </c>
      <c r="D13" s="28" t="n"/>
    </row>
    <row r="14">
      <c r="A14" s="29" t="inlineStr">
        <is>
          <t>Exceptional items</t>
        </is>
      </c>
      <c r="B14" s="33" t="n">
        <v>0</v>
      </c>
      <c r="C14" s="33" t="n">
        <v>0</v>
      </c>
      <c r="D14" s="28" t="n"/>
    </row>
    <row r="15">
      <c r="A15" s="29" t="inlineStr">
        <is>
          <t>Profit before tax</t>
        </is>
      </c>
      <c r="B15" s="33" t="n">
        <v>138</v>
      </c>
      <c r="C15" s="33" t="n">
        <v>148</v>
      </c>
      <c r="D15" s="28" t="n"/>
    </row>
    <row r="16">
      <c r="A16" s="29" t="inlineStr">
        <is>
          <t>Provision for tax</t>
        </is>
      </c>
      <c r="B16" s="33" t="n">
        <v>35</v>
      </c>
      <c r="C16" s="33" t="n">
        <v>37</v>
      </c>
      <c r="D16" s="28" t="n"/>
    </row>
    <row r="17">
      <c r="A17" s="29" t="inlineStr">
        <is>
          <t>Net profit</t>
        </is>
      </c>
      <c r="B17" s="33" t="n">
        <v>103</v>
      </c>
      <c r="C17" s="33" t="n">
        <v>111</v>
      </c>
      <c r="D17" s="28" t="n"/>
    </row>
    <row r="18">
      <c r="A18" s="29" t="inlineStr">
        <is>
          <t>PBT / net sales</t>
        </is>
      </c>
      <c r="B18" s="44" t="n">
        <v>0.1104</v>
      </c>
      <c r="C18" s="44" t="n">
        <v>0.1096296296296296</v>
      </c>
      <c r="D18" s="28" t="n"/>
    </row>
    <row r="19">
      <c r="A19" s="28" t="n"/>
      <c r="B19" s="28" t="n"/>
      <c r="C19" s="28" t="n"/>
      <c r="D19" s="28" t="n"/>
    </row>
    <row r="20">
      <c r="A20" s="49" t="inlineStr">
        <is>
          <t>FORM III - Analysis of balance sheet</t>
        </is>
      </c>
      <c r="B20" s="28" t="n"/>
      <c r="C20" s="28" t="n"/>
      <c r="D20" s="28" t="n"/>
    </row>
    <row r="21">
      <c r="A21" s="3" t="inlineStr">
        <is>
          <t>Particulars (₹ Cr)</t>
        </is>
      </c>
      <c r="B21" s="3" t="inlineStr">
        <is>
          <t>FY2024</t>
        </is>
      </c>
      <c r="C21" s="3" t="inlineStr">
        <is>
          <t>FY2025</t>
        </is>
      </c>
      <c r="D21" s="28" t="n"/>
    </row>
    <row r="22">
      <c r="A22" s="47" t="inlineStr">
        <is>
          <t>Short-term bank borrowings (incl. current maturities)</t>
        </is>
      </c>
      <c r="B22" s="33" t="n">
        <v>169</v>
      </c>
      <c r="C22" s="33" t="n">
        <v>300</v>
      </c>
      <c r="D22" s="28" t="n"/>
    </row>
    <row r="23">
      <c r="A23" s="29" t="inlineStr">
        <is>
          <t>Trade payables</t>
        </is>
      </c>
      <c r="B23" s="33" t="n">
        <v>190</v>
      </c>
      <c r="C23" s="33" t="n">
        <v>210</v>
      </c>
      <c r="D23" s="28" t="n"/>
    </row>
    <row r="24">
      <c r="A24" s="29" t="inlineStr">
        <is>
          <t>Other current liabilities &amp; provisions</t>
        </is>
      </c>
      <c r="B24" s="33" t="n">
        <v>63</v>
      </c>
      <c r="C24" s="33" t="n">
        <v>73</v>
      </c>
      <c r="D24" s="28" t="n"/>
    </row>
    <row r="25">
      <c r="A25" s="29" t="inlineStr">
        <is>
          <t>Total current liabilities</t>
        </is>
      </c>
      <c r="B25" s="33" t="n">
        <v>422</v>
      </c>
      <c r="C25" s="33" t="n">
        <v>583</v>
      </c>
      <c r="D25" s="28" t="n"/>
    </row>
    <row r="26">
      <c r="A26" s="47" t="inlineStr">
        <is>
          <t>Term liabilities (long-term borrowings + leases)</t>
        </is>
      </c>
      <c r="B26" s="33" t="n">
        <v>272</v>
      </c>
      <c r="C26" s="33" t="n">
        <v>390</v>
      </c>
      <c r="D26" s="28" t="n"/>
    </row>
    <row r="27">
      <c r="A27" s="47" t="inlineStr">
        <is>
          <t>Other non-current liabilities &amp; provisions</t>
        </is>
      </c>
      <c r="B27" s="33" t="n">
        <v>27</v>
      </c>
      <c r="C27" s="33" t="n">
        <v>30</v>
      </c>
      <c r="D27" s="28" t="n"/>
    </row>
    <row r="28">
      <c r="A28" s="29" t="inlineStr">
        <is>
          <t>Total outside liabilities</t>
        </is>
      </c>
      <c r="B28" s="33" t="n">
        <v>721</v>
      </c>
      <c r="C28" s="33" t="n">
        <v>1003</v>
      </c>
      <c r="D28" s="28" t="n"/>
    </row>
    <row r="29">
      <c r="A29" s="29" t="inlineStr">
        <is>
          <t>Net worth</t>
        </is>
      </c>
      <c r="B29" s="33" t="n">
        <v>430</v>
      </c>
      <c r="C29" s="33" t="n">
        <v>470</v>
      </c>
      <c r="D29" s="28" t="n"/>
    </row>
    <row r="30">
      <c r="A30" s="29" t="inlineStr">
        <is>
          <t>Total current assets</t>
        </is>
      </c>
      <c r="B30" s="33" t="n">
        <v>522</v>
      </c>
      <c r="C30" s="33" t="n">
        <v>688</v>
      </c>
      <c r="D30" s="28" t="n"/>
    </row>
    <row r="31">
      <c r="A31" s="29" t="inlineStr">
        <is>
          <t>Net fixed assets (incl. CWIP)</t>
        </is>
      </c>
      <c r="B31" s="33" t="n">
        <v>514</v>
      </c>
      <c r="C31" s="33" t="n">
        <v>527</v>
      </c>
      <c r="D31" s="28" t="n"/>
    </row>
    <row r="32">
      <c r="A32" s="29" t="inlineStr">
        <is>
          <t>Intangibles</t>
        </is>
      </c>
      <c r="B32" s="33" t="n">
        <v>6</v>
      </c>
      <c r="C32" s="33" t="n">
        <v>8</v>
      </c>
      <c r="D32" s="28" t="n"/>
    </row>
    <row r="33">
      <c r="A33" s="29" t="inlineStr">
        <is>
          <t>Other non-current assets &amp; investments</t>
        </is>
      </c>
      <c r="B33" s="33" t="n">
        <v>109</v>
      </c>
      <c r="C33" s="33" t="n">
        <v>250</v>
      </c>
      <c r="D33" s="28" t="n"/>
    </row>
    <row r="34">
      <c r="A34" s="29" t="inlineStr">
        <is>
          <t>Total assets</t>
        </is>
      </c>
      <c r="B34" s="33" t="n">
        <v>1151</v>
      </c>
      <c r="C34" s="33" t="n">
        <v>1473</v>
      </c>
      <c r="D34" s="28" t="n"/>
    </row>
    <row r="35">
      <c r="A35" s="29" t="inlineStr">
        <is>
          <t>Tangible net worth</t>
        </is>
      </c>
      <c r="B35" s="33" t="n">
        <v>424</v>
      </c>
      <c r="C35" s="33" t="n">
        <v>462</v>
      </c>
      <c r="D35" s="28" t="n"/>
    </row>
    <row r="36">
      <c r="A36" s="29" t="inlineStr">
        <is>
          <t>Net working capital</t>
        </is>
      </c>
      <c r="B36" s="33" t="n">
        <v>100</v>
      </c>
      <c r="C36" s="33" t="n">
        <v>105</v>
      </c>
      <c r="D36" s="28" t="n"/>
    </row>
    <row r="37">
      <c r="A37" s="29" t="inlineStr">
        <is>
          <t>Current ratio</t>
        </is>
      </c>
      <c r="B37" s="36" t="n">
        <v>1.23696682464455</v>
      </c>
      <c r="C37" s="36" t="n">
        <v>1.180102915951972</v>
      </c>
      <c r="D37" s="28" t="n"/>
    </row>
    <row r="38">
      <c r="A38" s="29" t="inlineStr">
        <is>
          <t>TOL / TNW</t>
        </is>
      </c>
      <c r="B38" s="36" t="n">
        <v>1.700471698113208</v>
      </c>
      <c r="C38" s="36" t="n">
        <v>2.170995670995671</v>
      </c>
      <c r="D38" s="28" t="n"/>
    </row>
    <row r="39">
      <c r="A39" s="28" t="n"/>
      <c r="B39" s="28" t="n"/>
      <c r="C39" s="28" t="n"/>
      <c r="D39" s="28" t="n"/>
    </row>
    <row r="40">
      <c r="A40" s="50" t="inlineStr">
        <is>
          <t>FORM IV - Current assets and holding levels</t>
        </is>
      </c>
      <c r="B40" s="28" t="n"/>
      <c r="C40" s="28" t="n"/>
      <c r="D40" s="28" t="n"/>
    </row>
    <row r="41">
      <c r="A41" s="3" t="inlineStr">
        <is>
          <t>Particulars (₹ Cr)</t>
        </is>
      </c>
      <c r="B41" s="3" t="inlineStr">
        <is>
          <t>FY2024</t>
        </is>
      </c>
      <c r="C41" s="3" t="inlineStr">
        <is>
          <t>FY2025</t>
        </is>
      </c>
      <c r="D41" s="28" t="n"/>
    </row>
    <row r="42">
      <c r="A42" s="47" t="inlineStr">
        <is>
          <t>Raw material + stock holding (days of cost of sales)</t>
        </is>
      </c>
      <c r="B42" s="51" t="n">
        <v>83.69426751592357</v>
      </c>
      <c r="C42" s="51" t="n">
        <v>91.25</v>
      </c>
      <c r="D42" s="28" t="n"/>
    </row>
    <row r="43">
      <c r="A43" s="29" t="inlineStr">
        <is>
          <t>Receivables (days of sales)</t>
        </is>
      </c>
      <c r="B43" s="51" t="n">
        <v>58.4</v>
      </c>
      <c r="C43" s="51" t="n">
        <v>78.4074074074074</v>
      </c>
      <c r="D43" s="28" t="n"/>
    </row>
    <row r="44">
      <c r="A44" s="29" t="inlineStr">
        <is>
          <t>Trade payables (days of purchases)</t>
        </is>
      </c>
      <c r="B44" s="51" t="n">
        <v>88.34394904458598</v>
      </c>
      <c r="C44" s="51" t="n">
        <v>91.25</v>
      </c>
      <c r="D44" s="28" t="n"/>
    </row>
    <row r="45">
      <c r="A45" s="29" t="inlineStr">
        <is>
          <t>Inventory</t>
        </is>
      </c>
      <c r="B45" s="33" t="n">
        <v>180</v>
      </c>
      <c r="C45" s="33" t="n">
        <v>210</v>
      </c>
      <c r="D45" s="28" t="n"/>
    </row>
    <row r="46">
      <c r="A46" s="29" t="inlineStr">
        <is>
          <t>Receivables</t>
        </is>
      </c>
      <c r="B46" s="33" t="n">
        <v>200</v>
      </c>
      <c r="C46" s="33" t="n">
        <v>290</v>
      </c>
      <c r="D46" s="28" t="n"/>
    </row>
    <row r="47">
      <c r="A47" s="29" t="inlineStr">
        <is>
          <t>Other current assets (incl. cash)</t>
        </is>
      </c>
      <c r="B47" s="33" t="n">
        <v>142</v>
      </c>
      <c r="C47" s="33" t="n">
        <v>188</v>
      </c>
      <c r="D47" s="28" t="n"/>
    </row>
    <row r="48">
      <c r="A48" s="28" t="n"/>
      <c r="B48" s="28" t="n"/>
      <c r="C48" s="28" t="n"/>
      <c r="D48" s="28" t="n"/>
    </row>
    <row r="49">
      <c r="A49" s="49" t="inlineStr">
        <is>
          <t>FORM VI - Fund flow (FY2024 to FY2025)</t>
        </is>
      </c>
      <c r="B49" s="28" t="n"/>
      <c r="C49" s="28" t="n"/>
      <c r="D49" s="28" t="n"/>
    </row>
    <row r="50">
      <c r="A50" s="3" t="inlineStr">
        <is>
          <t>Sources</t>
        </is>
      </c>
      <c r="B50" s="3" t="inlineStr">
        <is>
          <t>₹ Cr</t>
        </is>
      </c>
      <c r="C50" s="3" t="inlineStr">
        <is>
          <t>Uses</t>
        </is>
      </c>
      <c r="D50" s="3" t="inlineStr">
        <is>
          <t>₹ Cr</t>
        </is>
      </c>
    </row>
    <row r="51">
      <c r="A51" s="29" t="inlineStr">
        <is>
          <t>Short-term Borrowings</t>
        </is>
      </c>
      <c r="B51" s="33" t="n">
        <v>131</v>
      </c>
      <c r="C51" s="29" t="inlineStr">
        <is>
          <t>Trade Receivables</t>
        </is>
      </c>
      <c r="D51" s="33" t="n">
        <v>90</v>
      </c>
    </row>
    <row r="52">
      <c r="A52" s="29" t="inlineStr">
        <is>
          <t>Long-term Borrowings</t>
        </is>
      </c>
      <c r="B52" s="33" t="n">
        <v>120</v>
      </c>
      <c r="C52" s="29" t="inlineStr">
        <is>
          <t>Non-current Loans &amp; Advances</t>
        </is>
      </c>
      <c r="D52" s="33" t="n">
        <v>75</v>
      </c>
    </row>
    <row r="53">
      <c r="A53" s="29" t="inlineStr">
        <is>
          <t>Other Equity (Reserves &amp; Surplus)</t>
        </is>
      </c>
      <c r="B53" s="33" t="n">
        <v>40</v>
      </c>
      <c r="C53" s="29" t="inlineStr">
        <is>
          <t>Non-current Investments</t>
        </is>
      </c>
      <c r="D53" s="33" t="n">
        <v>40</v>
      </c>
    </row>
    <row r="54">
      <c r="A54" s="29" t="inlineStr">
        <is>
          <t>Trade Payables</t>
        </is>
      </c>
      <c r="B54" s="33" t="n">
        <v>20</v>
      </c>
      <c r="C54" s="29" t="inlineStr">
        <is>
          <t>Inventories</t>
        </is>
      </c>
      <c r="D54" s="33" t="n">
        <v>30</v>
      </c>
    </row>
    <row r="55">
      <c r="A55" s="29" t="inlineStr">
        <is>
          <t>Other Current Financial Liabilities</t>
        </is>
      </c>
      <c r="B55" s="33" t="n">
        <v>5</v>
      </c>
      <c r="C55" s="29" t="inlineStr">
        <is>
          <t>Cash &amp; Cash Equivalents</t>
        </is>
      </c>
      <c r="D55" s="33" t="n">
        <v>25</v>
      </c>
    </row>
    <row r="56">
      <c r="A56" s="29" t="inlineStr">
        <is>
          <t>Other Current Liabilities</t>
        </is>
      </c>
      <c r="B56" s="33" t="n">
        <v>3</v>
      </c>
      <c r="C56" s="29" t="inlineStr">
        <is>
          <t>Capital Advances</t>
        </is>
      </c>
      <c r="D56" s="33" t="n">
        <v>22</v>
      </c>
    </row>
    <row r="57">
      <c r="A57" s="29" t="inlineStr">
        <is>
          <t>Deferred Tax Liabilities (Net)</t>
        </is>
      </c>
      <c r="B57" s="33" t="n">
        <v>2</v>
      </c>
      <c r="C57" s="29" t="inlineStr">
        <is>
          <t>Property, Plant &amp; Equipment (Net Block)</t>
        </is>
      </c>
      <c r="D57" s="33" t="n">
        <v>10</v>
      </c>
    </row>
    <row r="58">
      <c r="A58" s="29" t="inlineStr">
        <is>
          <t>Right-of-Use Assets</t>
        </is>
      </c>
      <c r="B58" s="33" t="n">
        <v>2</v>
      </c>
      <c r="C58" s="29" t="inlineStr">
        <is>
          <t>Current Loans &amp; Advances</t>
        </is>
      </c>
      <c r="D58" s="33" t="n">
        <v>10</v>
      </c>
    </row>
    <row r="59">
      <c r="A59" s="29" t="inlineStr">
        <is>
          <t>Long-term Provisions</t>
        </is>
      </c>
      <c r="B59" s="33" t="n">
        <v>1</v>
      </c>
      <c r="C59" s="29" t="inlineStr">
        <is>
          <t>Capital Work-in-Progress</t>
        </is>
      </c>
      <c r="D59" s="33" t="n">
        <v>5</v>
      </c>
    </row>
    <row r="60">
      <c r="A60" s="29" t="inlineStr">
        <is>
          <t>Short-term Provisions</t>
        </is>
      </c>
      <c r="B60" s="33" t="n">
        <v>1</v>
      </c>
      <c r="C60" s="29" t="inlineStr">
        <is>
          <t>Other Bank Balances</t>
        </is>
      </c>
      <c r="D60" s="33" t="n">
        <v>5</v>
      </c>
    </row>
    <row r="61">
      <c r="A61" s="29" t="inlineStr">
        <is>
          <t>Current Tax Liabilities (Net)</t>
        </is>
      </c>
      <c r="B61" s="33" t="n">
        <v>1</v>
      </c>
      <c r="C61" s="29" t="inlineStr">
        <is>
          <t>Other Non-current Assets</t>
        </is>
      </c>
      <c r="D61" s="33" t="n">
        <v>3</v>
      </c>
    </row>
    <row r="62">
      <c r="A62" s="29" t="inlineStr"/>
      <c r="B62" s="29" t="inlineStr"/>
      <c r="C62" s="29" t="inlineStr">
        <is>
          <t>Other Current Financial Assets</t>
        </is>
      </c>
      <c r="D62" s="33" t="n">
        <v>3</v>
      </c>
    </row>
    <row r="63">
      <c r="A63" s="29" t="inlineStr"/>
      <c r="B63" s="29" t="inlineStr"/>
      <c r="C63" s="29" t="inlineStr">
        <is>
          <t>Other Current Assets</t>
        </is>
      </c>
      <c r="D63" s="33" t="n">
        <v>3</v>
      </c>
    </row>
    <row r="64">
      <c r="A64" s="29" t="inlineStr"/>
      <c r="B64" s="29" t="inlineStr"/>
      <c r="C64" s="29" t="inlineStr">
        <is>
          <t>Lease Liabilities (Non-current)</t>
        </is>
      </c>
      <c r="D64" s="33" t="n">
        <v>2</v>
      </c>
    </row>
    <row r="65">
      <c r="A65" s="29" t="inlineStr"/>
      <c r="B65" s="29" t="inlineStr"/>
      <c r="C65" s="47" t="inlineStr">
        <is>
          <t>Other Intangible Assets (incl. under development)</t>
        </is>
      </c>
      <c r="D65" s="33" t="n">
        <v>2</v>
      </c>
    </row>
    <row r="66">
      <c r="A66" s="29" t="inlineStr"/>
      <c r="B66" s="29" t="inlineStr"/>
      <c r="C66" s="29" t="inlineStr">
        <is>
          <t>Other Non-current Financial Assets</t>
        </is>
      </c>
      <c r="D66" s="33" t="n">
        <v>1</v>
      </c>
    </row>
    <row r="67">
      <c r="A67" s="29" t="inlineStr">
        <is>
          <t>Total sources</t>
        </is>
      </c>
      <c r="B67" s="33" t="n">
        <v>326</v>
      </c>
      <c r="C67" s="29" t="inlineStr">
        <is>
          <t>Total uses</t>
        </is>
      </c>
      <c r="D67" s="33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2026-10-18T14:41:17Z</dcterms:created>
  <dcterms:modified xmlns:dcterms="http://purl.org/dc/terms/" xmlns:xsi="http://www.w3.org/2001/XMLSchema-instance" xsi:type="dcterms:W3CDTF">2026-10-18T14:41:17Z</dcterms:modified>
</cp:coreProperties>
</file>